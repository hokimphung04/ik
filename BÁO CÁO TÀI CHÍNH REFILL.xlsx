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amnh45\Downloads\ik\"/>
    </mc:Choice>
  </mc:AlternateContent>
  <xr:revisionPtr revIDLastSave="0" documentId="13_ncr:1_{11362D18-48AA-4C18-BD1E-7711F8C9EABC}" xr6:coauthVersionLast="47" xr6:coauthVersionMax="47" xr10:uidLastSave="{00000000-0000-0000-0000-000000000000}"/>
  <bookViews>
    <workbookView xWindow="-108" yWindow="-108" windowWidth="23256" windowHeight="13896" xr2:uid="{00000000-000D-0000-FFFF-FFFF00000000}"/>
  </bookViews>
  <sheets>
    <sheet name="PC" sheetId="1" r:id="rId1"/>
    <sheet name="Giả định" sheetId="2" r:id="rId2"/>
    <sheet name="Giả định doanh thu" sheetId="3" r:id="rId3"/>
    <sheet name="Giả định chi phí" sheetId="4" r:id="rId4"/>
    <sheet name="Dự toán thuế GTGT" sheetId="5" r:id="rId5"/>
    <sheet name="Dự toán báo cáo thu nhập" sheetId="6" r:id="rId6"/>
    <sheet name="Dự toán BCĐKT" sheetId="7" r:id="rId7"/>
    <sheet name="Dự toán BCLCTT" sheetId="8" r:id="rId8"/>
    <sheet name="Thời gian hoàn vốn, NPV, IRR"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7" i="8" l="1"/>
  <c r="C16" i="8"/>
  <c r="C19" i="8" s="1"/>
  <c r="C9" i="8"/>
  <c r="C8" i="8"/>
  <c r="C7" i="8"/>
  <c r="C6" i="8"/>
  <c r="P37" i="7"/>
  <c r="C24" i="7"/>
  <c r="T21" i="7"/>
  <c r="S21" i="7"/>
  <c r="T16" i="8" s="1"/>
  <c r="R21" i="7"/>
  <c r="S16" i="8" s="1"/>
  <c r="Q21" i="7"/>
  <c r="Q16" i="8" s="1"/>
  <c r="P21" i="7"/>
  <c r="P16" i="8" s="1"/>
  <c r="O21" i="7"/>
  <c r="O16" i="8" s="1"/>
  <c r="N21" i="7"/>
  <c r="M21" i="7"/>
  <c r="N16" i="8" s="1"/>
  <c r="L21" i="7"/>
  <c r="L16" i="8" s="1"/>
  <c r="K21" i="7"/>
  <c r="K16" i="8" s="1"/>
  <c r="J21" i="7"/>
  <c r="I21" i="7"/>
  <c r="J16" i="8" s="1"/>
  <c r="H21" i="7"/>
  <c r="I16" i="8" s="1"/>
  <c r="G21" i="7"/>
  <c r="H16" i="8" s="1"/>
  <c r="F21" i="7"/>
  <c r="G16" i="8" s="1"/>
  <c r="E21" i="7"/>
  <c r="F16" i="8" s="1"/>
  <c r="D21" i="7"/>
  <c r="E16" i="8" s="1"/>
  <c r="C21" i="7"/>
  <c r="C20" i="7"/>
  <c r="C22" i="7" s="1"/>
  <c r="B22" i="6"/>
  <c r="R19" i="6"/>
  <c r="Q19" i="6"/>
  <c r="P19" i="6"/>
  <c r="O19" i="6"/>
  <c r="N19" i="6"/>
  <c r="M19" i="6"/>
  <c r="L19" i="6"/>
  <c r="K19" i="6"/>
  <c r="J19" i="6"/>
  <c r="I19" i="6"/>
  <c r="H19" i="6"/>
  <c r="G19" i="6"/>
  <c r="F19" i="6"/>
  <c r="E19" i="6"/>
  <c r="D19" i="6"/>
  <c r="C19" i="6"/>
  <c r="B19" i="6"/>
  <c r="R17" i="6"/>
  <c r="Q17" i="6"/>
  <c r="P17" i="6"/>
  <c r="O17" i="6"/>
  <c r="N17" i="6"/>
  <c r="M17" i="6"/>
  <c r="L17" i="6"/>
  <c r="K17" i="6"/>
  <c r="J17" i="6"/>
  <c r="I17" i="6"/>
  <c r="H17" i="6"/>
  <c r="G17" i="6"/>
  <c r="F17" i="6"/>
  <c r="E17" i="6"/>
  <c r="E22" i="6" s="1"/>
  <c r="D17" i="6"/>
  <c r="C17" i="6"/>
  <c r="B17" i="6"/>
  <c r="R16" i="6"/>
  <c r="Q16" i="6"/>
  <c r="P16" i="6"/>
  <c r="P22" i="6" s="1"/>
  <c r="O16" i="6"/>
  <c r="O22" i="6" s="1"/>
  <c r="N16" i="6"/>
  <c r="N22" i="6" s="1"/>
  <c r="M16" i="6"/>
  <c r="L16" i="6"/>
  <c r="K16" i="6"/>
  <c r="J16" i="6"/>
  <c r="I16" i="6"/>
  <c r="H16" i="6"/>
  <c r="G16" i="6"/>
  <c r="F16" i="6"/>
  <c r="E16" i="6"/>
  <c r="D16" i="6"/>
  <c r="C16" i="6"/>
  <c r="B16" i="6"/>
  <c r="M15" i="6"/>
  <c r="L15" i="6"/>
  <c r="K15" i="6"/>
  <c r="J15" i="6"/>
  <c r="I15" i="6"/>
  <c r="H15" i="6"/>
  <c r="G15" i="6"/>
  <c r="F15" i="6"/>
  <c r="E15" i="6"/>
  <c r="D15" i="6"/>
  <c r="C15" i="6"/>
  <c r="B15" i="6"/>
  <c r="K11" i="6"/>
  <c r="J11" i="6"/>
  <c r="I11" i="6"/>
  <c r="H11" i="6"/>
  <c r="G11" i="6"/>
  <c r="F11" i="6"/>
  <c r="B4" i="6"/>
  <c r="B14" i="5" s="1"/>
  <c r="O74" i="4"/>
  <c r="M74" i="4"/>
  <c r="K74" i="4"/>
  <c r="I74" i="4"/>
  <c r="G74" i="4"/>
  <c r="F58" i="4"/>
  <c r="F57" i="4"/>
  <c r="N15" i="6" s="1"/>
  <c r="E56" i="4"/>
  <c r="Q49" i="4"/>
  <c r="C25" i="7" s="1"/>
  <c r="C4" i="8" s="1"/>
  <c r="C10" i="8" s="1"/>
  <c r="E48" i="4"/>
  <c r="E47" i="4"/>
  <c r="E46" i="4"/>
  <c r="E44" i="4"/>
  <c r="D11" i="6" s="1"/>
  <c r="O31" i="4"/>
  <c r="E55" i="4" s="1"/>
  <c r="G30" i="4"/>
  <c r="G29" i="4"/>
  <c r="O28" i="4"/>
  <c r="G28" i="4"/>
  <c r="O27" i="4"/>
  <c r="G27" i="4"/>
  <c r="O26" i="4"/>
  <c r="G26" i="4"/>
  <c r="O25" i="4"/>
  <c r="G25" i="4"/>
  <c r="O24" i="4"/>
  <c r="G24" i="4"/>
  <c r="G23" i="4"/>
  <c r="E18" i="4"/>
  <c r="E11" i="4"/>
  <c r="F10" i="4"/>
  <c r="E42" i="4" s="1"/>
  <c r="F42" i="4" s="1"/>
  <c r="G42" i="4" s="1"/>
  <c r="H42" i="4" s="1"/>
  <c r="I42" i="4" s="1"/>
  <c r="J42" i="4" s="1"/>
  <c r="F9" i="4"/>
  <c r="E41" i="4" s="1"/>
  <c r="F41" i="4" s="1"/>
  <c r="G41" i="4" s="1"/>
  <c r="H41" i="4" s="1"/>
  <c r="I41" i="4" s="1"/>
  <c r="J41" i="4" s="1"/>
  <c r="F8" i="4"/>
  <c r="E40" i="4" s="1"/>
  <c r="F40" i="4" s="1"/>
  <c r="G40" i="4" s="1"/>
  <c r="H40" i="4" s="1"/>
  <c r="I40" i="4" s="1"/>
  <c r="J40" i="4" s="1"/>
  <c r="F7" i="4"/>
  <c r="E39" i="4" s="1"/>
  <c r="F39" i="4" s="1"/>
  <c r="G39" i="4" s="1"/>
  <c r="H39" i="4" s="1"/>
  <c r="I39" i="4" s="1"/>
  <c r="J39" i="4" s="1"/>
  <c r="F6" i="4"/>
  <c r="C59" i="3"/>
  <c r="N4" i="6" s="1"/>
  <c r="N14" i="5" s="1"/>
  <c r="N44" i="3"/>
  <c r="M44" i="3"/>
  <c r="L44" i="3"/>
  <c r="K44" i="3"/>
  <c r="J44" i="3"/>
  <c r="I44" i="3"/>
  <c r="H44" i="3"/>
  <c r="G44" i="3"/>
  <c r="F44" i="3"/>
  <c r="E44" i="3"/>
  <c r="D44" i="3"/>
  <c r="C44" i="3"/>
  <c r="N43" i="3"/>
  <c r="M43" i="3"/>
  <c r="L43" i="3"/>
  <c r="K43" i="3"/>
  <c r="J43" i="3"/>
  <c r="I43" i="3"/>
  <c r="H43" i="3"/>
  <c r="G43" i="3"/>
  <c r="F43" i="3"/>
  <c r="E43" i="3"/>
  <c r="D43" i="3"/>
  <c r="C43" i="3"/>
  <c r="N42" i="3"/>
  <c r="M42" i="3"/>
  <c r="L42" i="3"/>
  <c r="K42" i="3"/>
  <c r="J42" i="3"/>
  <c r="I42" i="3"/>
  <c r="I45" i="3" s="1"/>
  <c r="H42" i="3"/>
  <c r="G42" i="3"/>
  <c r="F42" i="3"/>
  <c r="E42" i="3"/>
  <c r="E45" i="3" s="1"/>
  <c r="D42" i="3"/>
  <c r="D45" i="3" s="1"/>
  <c r="C42" i="3"/>
  <c r="I36" i="3"/>
  <c r="H36" i="3"/>
  <c r="G36" i="3"/>
  <c r="F36" i="3"/>
  <c r="E36" i="3"/>
  <c r="D36" i="3"/>
  <c r="C36" i="3"/>
  <c r="O35" i="3"/>
  <c r="C53" i="3" s="1"/>
  <c r="D53" i="3" s="1"/>
  <c r="E53" i="3" s="1"/>
  <c r="F53" i="3" s="1"/>
  <c r="G53" i="3" s="1"/>
  <c r="F25" i="3"/>
  <c r="G24" i="3"/>
  <c r="G23" i="3"/>
  <c r="E23" i="3"/>
  <c r="L37" i="3" s="1"/>
  <c r="G22" i="3"/>
  <c r="E22" i="3"/>
  <c r="D17" i="3"/>
  <c r="E24" i="3" s="1"/>
  <c r="J38" i="3" s="1"/>
  <c r="J18" i="2"/>
  <c r="L18" i="2" s="1"/>
  <c r="J17" i="2"/>
  <c r="L17" i="2" s="1"/>
  <c r="J16" i="2"/>
  <c r="E14" i="6" l="1"/>
  <c r="C14" i="6"/>
  <c r="D16" i="8"/>
  <c r="R16" i="8"/>
  <c r="L46" i="3"/>
  <c r="H22" i="6"/>
  <c r="M16" i="8"/>
  <c r="N47" i="3"/>
  <c r="I22" i="6"/>
  <c r="B11" i="6"/>
  <c r="J22" i="6"/>
  <c r="H38" i="3"/>
  <c r="D47" i="3"/>
  <c r="I38" i="3"/>
  <c r="E47" i="3"/>
  <c r="F47" i="3"/>
  <c r="K13" i="6"/>
  <c r="I13" i="6"/>
  <c r="M13" i="6"/>
  <c r="L13" i="6"/>
  <c r="J13" i="6"/>
  <c r="K46" i="3"/>
  <c r="D46" i="3"/>
  <c r="N46" i="3"/>
  <c r="M46" i="3"/>
  <c r="F46" i="3"/>
  <c r="P24" i="7"/>
  <c r="L47" i="3"/>
  <c r="G57" i="4"/>
  <c r="J14" i="6"/>
  <c r="J47" i="3"/>
  <c r="K14" i="6"/>
  <c r="K22" i="6"/>
  <c r="K17" i="2"/>
  <c r="L22" i="6"/>
  <c r="M14" i="6"/>
  <c r="C54" i="3"/>
  <c r="D54" i="3" s="1"/>
  <c r="D62" i="3" s="1"/>
  <c r="D65" i="3" s="1"/>
  <c r="E37" i="3"/>
  <c r="G47" i="3"/>
  <c r="H14" i="6"/>
  <c r="H47" i="3"/>
  <c r="I14" i="6"/>
  <c r="I47" i="3"/>
  <c r="M47" i="3"/>
  <c r="K47" i="3"/>
  <c r="L14" i="6"/>
  <c r="M22" i="6"/>
  <c r="C45" i="3"/>
  <c r="K37" i="3"/>
  <c r="F22" i="6"/>
  <c r="C22" i="6"/>
  <c r="Q22" i="6"/>
  <c r="F14" i="6"/>
  <c r="G14" i="6"/>
  <c r="G46" i="3"/>
  <c r="H46" i="3"/>
  <c r="I46" i="3"/>
  <c r="J46" i="3"/>
  <c r="F11" i="4"/>
  <c r="B10" i="6" s="1"/>
  <c r="B14" i="6"/>
  <c r="G22" i="6"/>
  <c r="D22" i="6"/>
  <c r="R22" i="6"/>
  <c r="D24" i="7"/>
  <c r="D17" i="8" s="1"/>
  <c r="C26" i="7"/>
  <c r="C27" i="7"/>
  <c r="O42" i="3"/>
  <c r="H45" i="3"/>
  <c r="I48" i="3"/>
  <c r="H6" i="6" s="1"/>
  <c r="D55" i="4"/>
  <c r="O29" i="4"/>
  <c r="O15" i="6"/>
  <c r="H57" i="4"/>
  <c r="K12" i="6"/>
  <c r="K21" i="6" s="1"/>
  <c r="I12" i="6"/>
  <c r="J12" i="6"/>
  <c r="E12" i="6"/>
  <c r="B12" i="6"/>
  <c r="D12" i="6"/>
  <c r="C12" i="6"/>
  <c r="K18" i="2"/>
  <c r="H39" i="3"/>
  <c r="N38" i="3"/>
  <c r="G38" i="3"/>
  <c r="E38" i="3"/>
  <c r="C38" i="3"/>
  <c r="F38" i="3"/>
  <c r="D38" i="3"/>
  <c r="M36" i="3"/>
  <c r="E25" i="3"/>
  <c r="F26" i="3" s="1"/>
  <c r="L36" i="3"/>
  <c r="K36" i="3"/>
  <c r="N36" i="3"/>
  <c r="F12" i="6"/>
  <c r="J45" i="3"/>
  <c r="J48" i="3" s="1"/>
  <c r="I6" i="6" s="1"/>
  <c r="N37" i="3"/>
  <c r="M37" i="3"/>
  <c r="D37" i="3"/>
  <c r="D39" i="3" s="1"/>
  <c r="C37" i="3"/>
  <c r="H13" i="6"/>
  <c r="F13" i="6"/>
  <c r="G13" i="6"/>
  <c r="E13" i="6"/>
  <c r="C13" i="6"/>
  <c r="D13" i="6"/>
  <c r="B13" i="6"/>
  <c r="G37" i="3"/>
  <c r="F47" i="4"/>
  <c r="L12" i="6"/>
  <c r="K38" i="3"/>
  <c r="O44" i="3"/>
  <c r="C47" i="3"/>
  <c r="L38" i="3"/>
  <c r="O43" i="3"/>
  <c r="C46" i="3"/>
  <c r="G12" i="6"/>
  <c r="F37" i="3"/>
  <c r="K45" i="3"/>
  <c r="H12" i="6"/>
  <c r="L45" i="3"/>
  <c r="E59" i="4"/>
  <c r="M12" i="6"/>
  <c r="I37" i="3"/>
  <c r="I39" i="3" s="1"/>
  <c r="I41" i="3" s="1"/>
  <c r="H3" i="6" s="1"/>
  <c r="J7" i="7" s="1"/>
  <c r="F45" i="3"/>
  <c r="N45" i="3"/>
  <c r="N48" i="3" s="1"/>
  <c r="M6" i="6" s="1"/>
  <c r="G31" i="4"/>
  <c r="C11" i="7" s="1"/>
  <c r="C12" i="8" s="1"/>
  <c r="C14" i="8" s="1"/>
  <c r="C20" i="8" s="1"/>
  <c r="C22" i="8" s="1"/>
  <c r="E38" i="4"/>
  <c r="F46" i="4"/>
  <c r="J36" i="3"/>
  <c r="M38" i="3"/>
  <c r="H37" i="3"/>
  <c r="M45" i="3"/>
  <c r="J37" i="3"/>
  <c r="G45" i="3"/>
  <c r="L16" i="2"/>
  <c r="K16" i="2"/>
  <c r="E46" i="3"/>
  <c r="E48" i="3" s="1"/>
  <c r="D6" i="6" s="1"/>
  <c r="F44" i="4"/>
  <c r="L11" i="6"/>
  <c r="L21" i="6" s="1"/>
  <c r="M11" i="6"/>
  <c r="C11" i="6"/>
  <c r="E11" i="6"/>
  <c r="D14" i="6"/>
  <c r="F48" i="4"/>
  <c r="D21" i="8" l="1"/>
  <c r="P21" i="8"/>
  <c r="Q24" i="7"/>
  <c r="Q17" i="8" s="1"/>
  <c r="Q19" i="8" s="1"/>
  <c r="P17" i="8"/>
  <c r="P19" i="8" s="1"/>
  <c r="D19" i="8"/>
  <c r="M39" i="3"/>
  <c r="M41" i="3" s="1"/>
  <c r="L3" i="6" s="1"/>
  <c r="N7" i="7" s="1"/>
  <c r="N6" i="8" s="1"/>
  <c r="D48" i="3"/>
  <c r="C6" i="6" s="1"/>
  <c r="C7" i="6" s="1"/>
  <c r="J21" i="6"/>
  <c r="I21" i="6"/>
  <c r="C39" i="3"/>
  <c r="B3" i="6" s="1"/>
  <c r="D7" i="7" s="1"/>
  <c r="D6" i="8" s="1"/>
  <c r="E39" i="3"/>
  <c r="M7" i="6"/>
  <c r="O18" i="7"/>
  <c r="O8" i="7"/>
  <c r="F48" i="3"/>
  <c r="E6" i="6" s="1"/>
  <c r="R24" i="7"/>
  <c r="R17" i="8" s="1"/>
  <c r="R19" i="8" s="1"/>
  <c r="D61" i="3"/>
  <c r="D64" i="3" s="1"/>
  <c r="D63" i="3"/>
  <c r="D66" i="3" s="1"/>
  <c r="I7" i="6"/>
  <c r="K8" i="7"/>
  <c r="K7" i="8" s="1"/>
  <c r="L48" i="3"/>
  <c r="K6" i="6" s="1"/>
  <c r="F21" i="6"/>
  <c r="H21" i="6"/>
  <c r="K39" i="3"/>
  <c r="K41" i="3" s="1"/>
  <c r="J3" i="6" s="1"/>
  <c r="L7" i="7" s="1"/>
  <c r="C10" i="6"/>
  <c r="B20" i="6"/>
  <c r="D19" i="7"/>
  <c r="D9" i="8" s="1"/>
  <c r="D11" i="7"/>
  <c r="D12" i="8" s="1"/>
  <c r="D14" i="8" s="1"/>
  <c r="C13" i="7"/>
  <c r="C42" i="7"/>
  <c r="G48" i="3"/>
  <c r="F6" i="6" s="1"/>
  <c r="E54" i="3"/>
  <c r="E63" i="3" s="1"/>
  <c r="E66" i="3" s="1"/>
  <c r="M48" i="3"/>
  <c r="L6" i="6" s="1"/>
  <c r="G39" i="3"/>
  <c r="G41" i="3" s="1"/>
  <c r="H7" i="6"/>
  <c r="J18" i="7" s="1"/>
  <c r="J8" i="7"/>
  <c r="K48" i="3"/>
  <c r="J6" i="6" s="1"/>
  <c r="D21" i="6"/>
  <c r="H48" i="3"/>
  <c r="G6" i="6" s="1"/>
  <c r="F39" i="3"/>
  <c r="E3" i="6" s="1"/>
  <c r="G7" i="7" s="1"/>
  <c r="G6" i="8" s="1"/>
  <c r="L39" i="3"/>
  <c r="L41" i="3" s="1"/>
  <c r="K3" i="6" s="1"/>
  <c r="M7" i="7" s="1"/>
  <c r="M6" i="8" s="1"/>
  <c r="M21" i="6"/>
  <c r="J39" i="3"/>
  <c r="J41" i="3" s="1"/>
  <c r="I3" i="6" s="1"/>
  <c r="K7" i="7" s="1"/>
  <c r="K6" i="8" s="1"/>
  <c r="G21" i="6"/>
  <c r="D7" i="6"/>
  <c r="F18" i="7"/>
  <c r="F8" i="7"/>
  <c r="C48" i="3"/>
  <c r="B6" i="6" s="1"/>
  <c r="E24" i="7"/>
  <c r="E17" i="8" s="1"/>
  <c r="E19" i="8" s="1"/>
  <c r="D3" i="6"/>
  <c r="F7" i="7" s="1"/>
  <c r="E41" i="3"/>
  <c r="C61" i="3"/>
  <c r="O45" i="3"/>
  <c r="J13" i="5"/>
  <c r="J15" i="5" s="1"/>
  <c r="F38" i="4"/>
  <c r="E50" i="4"/>
  <c r="B21" i="6"/>
  <c r="Q50" i="4"/>
  <c r="Q51" i="4" s="1"/>
  <c r="E66" i="4"/>
  <c r="N11" i="6"/>
  <c r="G44" i="4"/>
  <c r="N39" i="3"/>
  <c r="N41" i="3" s="1"/>
  <c r="M3" i="6" s="1"/>
  <c r="O7" i="7" s="1"/>
  <c r="O46" i="3"/>
  <c r="C65" i="3" s="1"/>
  <c r="C62" i="3"/>
  <c r="C63" i="3"/>
  <c r="O47" i="3"/>
  <c r="C66" i="3" s="1"/>
  <c r="F55" i="4"/>
  <c r="D56" i="4"/>
  <c r="F56" i="4" s="1"/>
  <c r="G56" i="4" s="1"/>
  <c r="H56" i="4" s="1"/>
  <c r="I56" i="4" s="1"/>
  <c r="J56" i="4" s="1"/>
  <c r="O38" i="3"/>
  <c r="C57" i="3" s="1"/>
  <c r="D57" i="3" s="1"/>
  <c r="E57" i="3" s="1"/>
  <c r="F57" i="3" s="1"/>
  <c r="G57" i="3" s="1"/>
  <c r="E21" i="6"/>
  <c r="O37" i="3"/>
  <c r="C56" i="3" s="1"/>
  <c r="D56" i="3" s="1"/>
  <c r="E56" i="3" s="1"/>
  <c r="F56" i="3" s="1"/>
  <c r="G56" i="3" s="1"/>
  <c r="O36" i="3"/>
  <c r="C21" i="6"/>
  <c r="G3" i="6"/>
  <c r="I7" i="7" s="1"/>
  <c r="H41" i="3"/>
  <c r="H13" i="5"/>
  <c r="H15" i="5" s="1"/>
  <c r="C3" i="6"/>
  <c r="E7" i="7" s="1"/>
  <c r="D41" i="3"/>
  <c r="N12" i="6"/>
  <c r="G46" i="4"/>
  <c r="G47" i="4"/>
  <c r="N13" i="6"/>
  <c r="G48" i="4"/>
  <c r="N14" i="6"/>
  <c r="F54" i="3"/>
  <c r="P15" i="6"/>
  <c r="I57" i="4"/>
  <c r="F3" i="6" l="1"/>
  <c r="H7" i="7" s="1"/>
  <c r="H6" i="8" s="1"/>
  <c r="C41" i="3"/>
  <c r="E8" i="7"/>
  <c r="E62" i="3"/>
  <c r="E65" i="3" s="1"/>
  <c r="F6" i="8"/>
  <c r="E18" i="7"/>
  <c r="E61" i="3"/>
  <c r="E64" i="3" s="1"/>
  <c r="E67" i="3" s="1"/>
  <c r="P6" i="6" s="1"/>
  <c r="L13" i="5"/>
  <c r="L15" i="5" s="1"/>
  <c r="L17" i="5" s="1"/>
  <c r="L5" i="6" s="1"/>
  <c r="L8" i="6" s="1"/>
  <c r="S24" i="7"/>
  <c r="S17" i="8" s="1"/>
  <c r="S19" i="8" s="1"/>
  <c r="F7" i="8"/>
  <c r="F8" i="8"/>
  <c r="I13" i="5"/>
  <c r="I15" i="5" s="1"/>
  <c r="P8" i="7"/>
  <c r="P7" i="8" s="1"/>
  <c r="E6" i="8"/>
  <c r="O8" i="8"/>
  <c r="P7" i="7"/>
  <c r="P6" i="8" s="1"/>
  <c r="O6" i="8"/>
  <c r="I6" i="8"/>
  <c r="L6" i="8"/>
  <c r="J6" i="8"/>
  <c r="E11" i="7"/>
  <c r="E12" i="8" s="1"/>
  <c r="E14" i="8" s="1"/>
  <c r="G7" i="6"/>
  <c r="I18" i="7"/>
  <c r="I8" i="8" s="1"/>
  <c r="I8" i="7"/>
  <c r="I7" i="8" s="1"/>
  <c r="J7" i="6"/>
  <c r="L18" i="7" s="1"/>
  <c r="L8" i="8" s="1"/>
  <c r="L8" i="7"/>
  <c r="L7" i="8" s="1"/>
  <c r="E7" i="6"/>
  <c r="G18" i="7"/>
  <c r="G8" i="8" s="1"/>
  <c r="G8" i="7"/>
  <c r="G7" i="8" s="1"/>
  <c r="F41" i="3"/>
  <c r="D10" i="6"/>
  <c r="C20" i="6"/>
  <c r="E19" i="7"/>
  <c r="E9" i="8" s="1"/>
  <c r="E20" i="7"/>
  <c r="E22" i="7" s="1"/>
  <c r="D67" i="3"/>
  <c r="O6" i="6" s="1"/>
  <c r="B7" i="6"/>
  <c r="D18" i="7"/>
  <c r="D8" i="7"/>
  <c r="D7" i="8" s="1"/>
  <c r="P18" i="7"/>
  <c r="P8" i="8" s="1"/>
  <c r="L7" i="6"/>
  <c r="N18" i="7"/>
  <c r="N8" i="7"/>
  <c r="K7" i="6"/>
  <c r="M18" i="7"/>
  <c r="M8" i="7"/>
  <c r="M7" i="8" s="1"/>
  <c r="K13" i="5"/>
  <c r="K15" i="5" s="1"/>
  <c r="K17" i="5" s="1"/>
  <c r="K5" i="6" s="1"/>
  <c r="K8" i="6" s="1"/>
  <c r="K18" i="7"/>
  <c r="K8" i="8" s="1"/>
  <c r="F7" i="6"/>
  <c r="H18" i="7" s="1"/>
  <c r="H8" i="8" s="1"/>
  <c r="H8" i="7"/>
  <c r="H7" i="8" s="1"/>
  <c r="F24" i="7"/>
  <c r="F17" i="8" s="1"/>
  <c r="F19" i="8" s="1"/>
  <c r="T24" i="7"/>
  <c r="T17" i="8" s="1"/>
  <c r="T19" i="8" s="1"/>
  <c r="I17" i="5"/>
  <c r="I5" i="6" s="1"/>
  <c r="I8" i="6" s="1"/>
  <c r="N21" i="6"/>
  <c r="H17" i="5"/>
  <c r="H5" i="6" s="1"/>
  <c r="H8" i="6" s="1"/>
  <c r="C64" i="3"/>
  <c r="C67" i="3" s="1"/>
  <c r="O48" i="3"/>
  <c r="N6" i="6" s="1"/>
  <c r="N7" i="6" s="1"/>
  <c r="F63" i="3"/>
  <c r="F66" i="3" s="1"/>
  <c r="F61" i="3"/>
  <c r="F64" i="3" s="1"/>
  <c r="F62" i="3"/>
  <c r="F65" i="3" s="1"/>
  <c r="G54" i="3"/>
  <c r="G13" i="5"/>
  <c r="G15" i="5" s="1"/>
  <c r="M13" i="5"/>
  <c r="M15" i="5" s="1"/>
  <c r="H48" i="4"/>
  <c r="O14" i="6"/>
  <c r="O39" i="3"/>
  <c r="O41" i="3" s="1"/>
  <c r="N3" i="6" s="1"/>
  <c r="C55" i="3"/>
  <c r="H44" i="4"/>
  <c r="O11" i="6"/>
  <c r="J17" i="5"/>
  <c r="J5" i="6" s="1"/>
  <c r="J18" i="5"/>
  <c r="F66" i="4"/>
  <c r="H66" i="4"/>
  <c r="J66" i="4"/>
  <c r="R18" i="6" s="1"/>
  <c r="G66" i="4"/>
  <c r="I66" i="4"/>
  <c r="J57" i="4"/>
  <c r="R15" i="6" s="1"/>
  <c r="Q15" i="6"/>
  <c r="O12" i="6"/>
  <c r="H46" i="4"/>
  <c r="D59" i="4"/>
  <c r="E13" i="5"/>
  <c r="E15" i="5" s="1"/>
  <c r="H47" i="4"/>
  <c r="O13" i="6"/>
  <c r="F13" i="5"/>
  <c r="F15" i="5" s="1"/>
  <c r="B13" i="5"/>
  <c r="B15" i="5" s="1"/>
  <c r="C13" i="5"/>
  <c r="C15" i="5" s="1"/>
  <c r="G55" i="4"/>
  <c r="F59" i="4"/>
  <c r="F50" i="4"/>
  <c r="N10" i="6"/>
  <c r="N20" i="6" s="1"/>
  <c r="G38" i="4"/>
  <c r="D13" i="5"/>
  <c r="D15" i="5" s="1"/>
  <c r="J7" i="8" l="1"/>
  <c r="M8" i="8"/>
  <c r="J8" i="6"/>
  <c r="N7" i="8"/>
  <c r="E7" i="8"/>
  <c r="O7" i="8"/>
  <c r="D20" i="7"/>
  <c r="D22" i="7" s="1"/>
  <c r="D8" i="8"/>
  <c r="R23" i="6"/>
  <c r="T5" i="8"/>
  <c r="E8" i="8"/>
  <c r="L18" i="5"/>
  <c r="N8" i="8"/>
  <c r="J8" i="8"/>
  <c r="P7" i="6"/>
  <c r="R18" i="7" s="1"/>
  <c r="R8" i="8" s="1"/>
  <c r="R8" i="7"/>
  <c r="O7" i="6"/>
  <c r="Q8" i="7"/>
  <c r="Q7" i="8" s="1"/>
  <c r="Q18" i="7"/>
  <c r="Q8" i="8" s="1"/>
  <c r="E10" i="6"/>
  <c r="D20" i="6"/>
  <c r="F19" i="7"/>
  <c r="F11" i="7"/>
  <c r="F12" i="8" s="1"/>
  <c r="F14" i="8" s="1"/>
  <c r="K18" i="5"/>
  <c r="G24" i="7"/>
  <c r="G17" i="8" s="1"/>
  <c r="G19" i="8" s="1"/>
  <c r="C17" i="5"/>
  <c r="C5" i="6" s="1"/>
  <c r="C8" i="6" s="1"/>
  <c r="I44" i="4"/>
  <c r="P11" i="6"/>
  <c r="H55" i="4"/>
  <c r="G59" i="4"/>
  <c r="F67" i="3"/>
  <c r="Q6" i="6" s="1"/>
  <c r="O21" i="6"/>
  <c r="E18" i="6"/>
  <c r="Q18" i="6"/>
  <c r="L18" i="6"/>
  <c r="O18" i="6"/>
  <c r="M18" i="6"/>
  <c r="C18" i="6"/>
  <c r="N13" i="5"/>
  <c r="N15" i="5" s="1"/>
  <c r="I47" i="4"/>
  <c r="P13" i="6"/>
  <c r="H18" i="5"/>
  <c r="G18" i="6"/>
  <c r="F18" i="6"/>
  <c r="N18" i="6"/>
  <c r="P5" i="8" s="1"/>
  <c r="K18" i="6"/>
  <c r="J18" i="6"/>
  <c r="H18" i="6"/>
  <c r="B18" i="6"/>
  <c r="D5" i="8" s="1"/>
  <c r="I18" i="6"/>
  <c r="G17" i="5"/>
  <c r="G5" i="6" s="1"/>
  <c r="G8" i="6" s="1"/>
  <c r="G63" i="3"/>
  <c r="G66" i="3" s="1"/>
  <c r="G62" i="3"/>
  <c r="G65" i="3" s="1"/>
  <c r="G61" i="3"/>
  <c r="G64" i="3" s="1"/>
  <c r="I46" i="4"/>
  <c r="P12" i="6"/>
  <c r="B17" i="5"/>
  <c r="B5" i="6" s="1"/>
  <c r="B8" i="6" s="1"/>
  <c r="D55" i="3"/>
  <c r="C58" i="3"/>
  <c r="C60" i="3" s="1"/>
  <c r="F17" i="5"/>
  <c r="F5" i="6" s="1"/>
  <c r="F8" i="6" s="1"/>
  <c r="F18" i="5"/>
  <c r="D17" i="5"/>
  <c r="D5" i="6" s="1"/>
  <c r="D8" i="6" s="1"/>
  <c r="D18" i="5"/>
  <c r="P18" i="6"/>
  <c r="D18" i="6"/>
  <c r="I48" i="4"/>
  <c r="P14" i="6"/>
  <c r="O10" i="6"/>
  <c r="G50" i="4"/>
  <c r="H38" i="4"/>
  <c r="M17" i="5"/>
  <c r="M5" i="6" s="1"/>
  <c r="M8" i="6" s="1"/>
  <c r="E17" i="5"/>
  <c r="E5" i="6" s="1"/>
  <c r="E8" i="6" s="1"/>
  <c r="E18" i="5"/>
  <c r="I18" i="5"/>
  <c r="C23" i="6" l="1"/>
  <c r="C24" i="6" s="1"/>
  <c r="E5" i="7" s="1"/>
  <c r="E5" i="8"/>
  <c r="D23" i="6"/>
  <c r="D24" i="6" s="1"/>
  <c r="F5" i="7" s="1"/>
  <c r="F5" i="8"/>
  <c r="P23" i="6"/>
  <c r="R5" i="8"/>
  <c r="F20" i="7"/>
  <c r="F22" i="7" s="1"/>
  <c r="F9" i="8"/>
  <c r="L23" i="6"/>
  <c r="N5" i="8"/>
  <c r="H23" i="6"/>
  <c r="J5" i="8"/>
  <c r="Q23" i="6"/>
  <c r="S5" i="8"/>
  <c r="J23" i="6"/>
  <c r="L5" i="8"/>
  <c r="E23" i="6"/>
  <c r="G5" i="8"/>
  <c r="K23" i="6"/>
  <c r="M5" i="8"/>
  <c r="R7" i="8"/>
  <c r="G23" i="6"/>
  <c r="I5" i="8"/>
  <c r="M23" i="6"/>
  <c r="O5" i="8"/>
  <c r="I23" i="6"/>
  <c r="K5" i="8"/>
  <c r="O23" i="6"/>
  <c r="O24" i="6" s="1"/>
  <c r="Q5" i="7" s="1"/>
  <c r="Q5" i="8"/>
  <c r="F23" i="6"/>
  <c r="H5" i="8"/>
  <c r="D25" i="6"/>
  <c r="Q7" i="6"/>
  <c r="S18" i="7"/>
  <c r="S8" i="8" s="1"/>
  <c r="S8" i="7"/>
  <c r="S7" i="8" s="1"/>
  <c r="G11" i="7"/>
  <c r="G12" i="8" s="1"/>
  <c r="G14" i="8" s="1"/>
  <c r="B25" i="6"/>
  <c r="E20" i="6"/>
  <c r="E24" i="6" s="1"/>
  <c r="G19" i="7"/>
  <c r="F10" i="6"/>
  <c r="B23" i="6"/>
  <c r="B24" i="6" s="1"/>
  <c r="D5" i="7" s="1"/>
  <c r="C5" i="7" s="1"/>
  <c r="D12" i="7"/>
  <c r="N23" i="6"/>
  <c r="N24" i="6" s="1"/>
  <c r="P12" i="7"/>
  <c r="Q12" i="7" s="1"/>
  <c r="R12" i="7" s="1"/>
  <c r="S12" i="7" s="1"/>
  <c r="T12" i="7" s="1"/>
  <c r="O20" i="6"/>
  <c r="Q19" i="7"/>
  <c r="G67" i="3"/>
  <c r="R6" i="6" s="1"/>
  <c r="C25" i="6"/>
  <c r="C26" i="6" s="1"/>
  <c r="C27" i="6" s="1"/>
  <c r="E4" i="8" s="1"/>
  <c r="E10" i="8" s="1"/>
  <c r="E20" i="8" s="1"/>
  <c r="H24" i="7"/>
  <c r="H17" i="8" s="1"/>
  <c r="H19" i="8" s="1"/>
  <c r="E55" i="3"/>
  <c r="D58" i="3"/>
  <c r="M18" i="5"/>
  <c r="B18" i="5"/>
  <c r="Q14" i="6"/>
  <c r="J48" i="4"/>
  <c r="R14" i="6" s="1"/>
  <c r="P10" i="6"/>
  <c r="H50" i="4"/>
  <c r="I38" i="4"/>
  <c r="J47" i="4"/>
  <c r="R13" i="6" s="1"/>
  <c r="Q13" i="6"/>
  <c r="G18" i="5"/>
  <c r="D26" i="6"/>
  <c r="D27" i="6"/>
  <c r="F4" i="8" s="1"/>
  <c r="F10" i="8" s="1"/>
  <c r="F20" i="8" s="1"/>
  <c r="P21" i="6"/>
  <c r="J44" i="4"/>
  <c r="R11" i="6" s="1"/>
  <c r="Q11" i="6"/>
  <c r="B26" i="6"/>
  <c r="B27" i="6" s="1"/>
  <c r="J46" i="4"/>
  <c r="R12" i="6" s="1"/>
  <c r="Q12" i="6"/>
  <c r="I55" i="4"/>
  <c r="H59" i="4"/>
  <c r="N17" i="5"/>
  <c r="N5" i="6" s="1"/>
  <c r="N8" i="6" s="1"/>
  <c r="N25" i="6" s="1"/>
  <c r="C18" i="5"/>
  <c r="G20" i="7" l="1"/>
  <c r="G22" i="7" s="1"/>
  <c r="G9" i="8"/>
  <c r="Q20" i="7"/>
  <c r="Q22" i="7" s="1"/>
  <c r="G5" i="7"/>
  <c r="E25" i="6"/>
  <c r="E26" i="6" s="1"/>
  <c r="H11" i="7"/>
  <c r="H12" i="8" s="1"/>
  <c r="H14" i="8" s="1"/>
  <c r="F20" i="6"/>
  <c r="F24" i="6" s="1"/>
  <c r="H19" i="7"/>
  <c r="G10" i="6"/>
  <c r="D4" i="8"/>
  <c r="D10" i="8" s="1"/>
  <c r="D20" i="8" s="1"/>
  <c r="D22" i="8" s="1"/>
  <c r="D25" i="7"/>
  <c r="D42" i="7"/>
  <c r="R7" i="6"/>
  <c r="T8" i="7"/>
  <c r="T7" i="8" s="1"/>
  <c r="T18" i="7"/>
  <c r="T8" i="8" s="1"/>
  <c r="Q21" i="6"/>
  <c r="E12" i="7"/>
  <c r="D13" i="7"/>
  <c r="P20" i="6"/>
  <c r="P24" i="6" s="1"/>
  <c r="R5" i="7" s="1"/>
  <c r="R19" i="7"/>
  <c r="R21" i="6"/>
  <c r="C6" i="7"/>
  <c r="C24" i="8" s="1"/>
  <c r="I24" i="7"/>
  <c r="I17" i="8" s="1"/>
  <c r="I19" i="8" s="1"/>
  <c r="N26" i="6"/>
  <c r="N27" i="6" s="1"/>
  <c r="N18" i="5"/>
  <c r="I59" i="4"/>
  <c r="J55" i="4"/>
  <c r="J59" i="4" s="1"/>
  <c r="F55" i="3"/>
  <c r="E58" i="3"/>
  <c r="D60" i="3"/>
  <c r="D68" i="3" s="1"/>
  <c r="O3" i="6"/>
  <c r="Q7" i="7" s="1"/>
  <c r="Q6" i="8" s="1"/>
  <c r="Q10" i="6"/>
  <c r="J38" i="4"/>
  <c r="I50" i="4"/>
  <c r="H20" i="7" l="1"/>
  <c r="H22" i="7" s="1"/>
  <c r="H9" i="8"/>
  <c r="C43" i="7"/>
  <c r="R20" i="7"/>
  <c r="R22" i="7" s="1"/>
  <c r="R9" i="8"/>
  <c r="E21" i="8"/>
  <c r="E22" i="8" s="1"/>
  <c r="E42" i="7"/>
  <c r="E25" i="7"/>
  <c r="D26" i="7"/>
  <c r="D27" i="7" s="1"/>
  <c r="D6" i="7" s="1"/>
  <c r="D24" i="8" s="1"/>
  <c r="C9" i="7"/>
  <c r="C14" i="7" s="1"/>
  <c r="C41" i="7" s="1"/>
  <c r="C44" i="7"/>
  <c r="I19" i="7"/>
  <c r="G20" i="6"/>
  <c r="G24" i="6" s="1"/>
  <c r="H10" i="6"/>
  <c r="H5" i="7"/>
  <c r="F25" i="6"/>
  <c r="F26" i="6" s="1"/>
  <c r="F27" i="6" s="1"/>
  <c r="H4" i="8" s="1"/>
  <c r="H10" i="8" s="1"/>
  <c r="H20" i="8" s="1"/>
  <c r="E27" i="6"/>
  <c r="G4" i="8" s="1"/>
  <c r="G10" i="8" s="1"/>
  <c r="G20" i="8" s="1"/>
  <c r="F12" i="7"/>
  <c r="E13" i="7"/>
  <c r="I11" i="7"/>
  <c r="I12" i="8" s="1"/>
  <c r="I14" i="8" s="1"/>
  <c r="Q20" i="6"/>
  <c r="Q24" i="6" s="1"/>
  <c r="S5" i="7" s="1"/>
  <c r="S19" i="7"/>
  <c r="P4" i="8"/>
  <c r="P25" i="7"/>
  <c r="J24" i="7"/>
  <c r="J17" i="8" s="1"/>
  <c r="J19" i="8" s="1"/>
  <c r="G55" i="3"/>
  <c r="G58" i="3" s="1"/>
  <c r="F58" i="3"/>
  <c r="O13" i="5"/>
  <c r="O15" i="5" s="1"/>
  <c r="R10" i="6"/>
  <c r="J50" i="4"/>
  <c r="P3" i="6"/>
  <c r="R7" i="7" s="1"/>
  <c r="R6" i="8" s="1"/>
  <c r="E60" i="3"/>
  <c r="E68" i="3" s="1"/>
  <c r="I20" i="7" l="1"/>
  <c r="I22" i="7" s="1"/>
  <c r="I9" i="8"/>
  <c r="S20" i="7"/>
  <c r="S22" i="7" s="1"/>
  <c r="S9" i="8"/>
  <c r="F21" i="8"/>
  <c r="F22" i="8" s="1"/>
  <c r="J19" i="7"/>
  <c r="H20" i="6"/>
  <c r="H24" i="6" s="1"/>
  <c r="I10" i="6"/>
  <c r="I5" i="7"/>
  <c r="G25" i="6"/>
  <c r="G26" i="6" s="1"/>
  <c r="G27" i="6" s="1"/>
  <c r="I4" i="8" s="1"/>
  <c r="I10" i="8" s="1"/>
  <c r="I20" i="8" s="1"/>
  <c r="P26" i="7"/>
  <c r="D9" i="7"/>
  <c r="D14" i="7" s="1"/>
  <c r="D41" i="7" s="1"/>
  <c r="D44" i="7"/>
  <c r="J11" i="7"/>
  <c r="J12" i="8" s="1"/>
  <c r="J14" i="8" s="1"/>
  <c r="R20" i="6"/>
  <c r="R24" i="6" s="1"/>
  <c r="T5" i="7" s="1"/>
  <c r="T19" i="7"/>
  <c r="F25" i="7"/>
  <c r="E26" i="7"/>
  <c r="E27" i="7" s="1"/>
  <c r="E6" i="7" s="1"/>
  <c r="E24" i="8" s="1"/>
  <c r="F42" i="7"/>
  <c r="D43" i="7"/>
  <c r="G12" i="7"/>
  <c r="F13" i="7"/>
  <c r="K24" i="7"/>
  <c r="K17" i="8" s="1"/>
  <c r="K19" i="8" s="1"/>
  <c r="P13" i="5"/>
  <c r="P15" i="5" s="1"/>
  <c r="O17" i="5"/>
  <c r="O5" i="6" s="1"/>
  <c r="O8" i="6" s="1"/>
  <c r="O25" i="6" s="1"/>
  <c r="F60" i="3"/>
  <c r="F68" i="3" s="1"/>
  <c r="Q3" i="6"/>
  <c r="S7" i="7" s="1"/>
  <c r="S6" i="8" s="1"/>
  <c r="R3" i="6"/>
  <c r="T7" i="7" s="1"/>
  <c r="T6" i="8" s="1"/>
  <c r="G60" i="3"/>
  <c r="G68" i="3" s="1"/>
  <c r="J20" i="7" l="1"/>
  <c r="J22" i="7" s="1"/>
  <c r="J9" i="8"/>
  <c r="T20" i="7"/>
  <c r="T22" i="7" s="1"/>
  <c r="T9" i="8"/>
  <c r="G21" i="8"/>
  <c r="G22" i="8" s="1"/>
  <c r="E9" i="7"/>
  <c r="E14" i="7" s="1"/>
  <c r="E41" i="7" s="1"/>
  <c r="E44" i="7"/>
  <c r="K11" i="7"/>
  <c r="K12" i="8" s="1"/>
  <c r="K14" i="8" s="1"/>
  <c r="G25" i="7"/>
  <c r="F26" i="7"/>
  <c r="F27" i="7" s="1"/>
  <c r="F6" i="7" s="1"/>
  <c r="F43" i="7" s="1"/>
  <c r="H12" i="7"/>
  <c r="G13" i="7"/>
  <c r="E43" i="7"/>
  <c r="K19" i="7"/>
  <c r="J10" i="6"/>
  <c r="I20" i="6"/>
  <c r="I24" i="6" s="1"/>
  <c r="G42" i="7"/>
  <c r="H25" i="6"/>
  <c r="H26" i="6" s="1"/>
  <c r="H27" i="6" s="1"/>
  <c r="J4" i="8" s="1"/>
  <c r="J10" i="8" s="1"/>
  <c r="J20" i="8" s="1"/>
  <c r="J5" i="7"/>
  <c r="L24" i="7"/>
  <c r="L17" i="8" s="1"/>
  <c r="L19" i="8" s="1"/>
  <c r="O18" i="5"/>
  <c r="R13" i="5"/>
  <c r="R15" i="5" s="1"/>
  <c r="Q13" i="5"/>
  <c r="Q15" i="5" s="1"/>
  <c r="O26" i="6"/>
  <c r="O27" i="6" s="1"/>
  <c r="P17" i="5"/>
  <c r="P5" i="6" s="1"/>
  <c r="P8" i="6" s="1"/>
  <c r="P25" i="6" s="1"/>
  <c r="P18" i="5"/>
  <c r="H21" i="8" l="1"/>
  <c r="H22" i="8" s="1"/>
  <c r="F24" i="8"/>
  <c r="K20" i="7"/>
  <c r="K22" i="7" s="1"/>
  <c r="K9" i="8"/>
  <c r="H42" i="7"/>
  <c r="I25" i="6"/>
  <c r="I26" i="6" s="1"/>
  <c r="I27" i="6" s="1"/>
  <c r="K4" i="8" s="1"/>
  <c r="K10" i="8" s="1"/>
  <c r="K20" i="8" s="1"/>
  <c r="K5" i="7"/>
  <c r="L19" i="7"/>
  <c r="K10" i="6"/>
  <c r="J20" i="6"/>
  <c r="J24" i="6" s="1"/>
  <c r="Q4" i="8"/>
  <c r="Q25" i="7"/>
  <c r="I12" i="7"/>
  <c r="H13" i="7"/>
  <c r="F9" i="7"/>
  <c r="F14" i="7" s="1"/>
  <c r="F41" i="7" s="1"/>
  <c r="F44" i="7"/>
  <c r="H25" i="7"/>
  <c r="G26" i="7"/>
  <c r="G27" i="7" s="1"/>
  <c r="G6" i="7" s="1"/>
  <c r="G24" i="8" s="1"/>
  <c r="L11" i="7"/>
  <c r="L12" i="8" s="1"/>
  <c r="L14" i="8" s="1"/>
  <c r="M24" i="7"/>
  <c r="M17" i="8" s="1"/>
  <c r="M19" i="8" s="1"/>
  <c r="P26" i="6"/>
  <c r="P27" i="6" s="1"/>
  <c r="R4" i="8" s="1"/>
  <c r="R10" i="8" s="1"/>
  <c r="Q17" i="5"/>
  <c r="Q5" i="6" s="1"/>
  <c r="Q8" i="6" s="1"/>
  <c r="Q25" i="6" s="1"/>
  <c r="R17" i="5"/>
  <c r="R5" i="6" s="1"/>
  <c r="R8" i="6" s="1"/>
  <c r="R25" i="6" s="1"/>
  <c r="L20" i="7" l="1"/>
  <c r="L22" i="7" s="1"/>
  <c r="L9" i="8"/>
  <c r="I21" i="8"/>
  <c r="I22" i="8" s="1"/>
  <c r="J12" i="7"/>
  <c r="I13" i="7"/>
  <c r="J25" i="6"/>
  <c r="J26" i="6" s="1"/>
  <c r="J27" i="6" s="1"/>
  <c r="L4" i="8" s="1"/>
  <c r="L10" i="8" s="1"/>
  <c r="L20" i="8" s="1"/>
  <c r="L5" i="7"/>
  <c r="I42" i="7"/>
  <c r="I25" i="7"/>
  <c r="H26" i="7"/>
  <c r="H27" i="7" s="1"/>
  <c r="H6" i="7" s="1"/>
  <c r="H24" i="8" s="1"/>
  <c r="R25" i="7"/>
  <c r="Q26" i="7"/>
  <c r="Q27" i="7" s="1"/>
  <c r="M19" i="7"/>
  <c r="K20" i="6"/>
  <c r="K24" i="6" s="1"/>
  <c r="L10" i="6"/>
  <c r="M11" i="7"/>
  <c r="M12" i="8" s="1"/>
  <c r="M14" i="8" s="1"/>
  <c r="G9" i="7"/>
  <c r="G14" i="7" s="1"/>
  <c r="G41" i="7" s="1"/>
  <c r="G44" i="7"/>
  <c r="G43" i="7"/>
  <c r="N24" i="7"/>
  <c r="N17" i="8" s="1"/>
  <c r="N19" i="8" s="1"/>
  <c r="Q26" i="6"/>
  <c r="Q27" i="6" s="1"/>
  <c r="S4" i="8" s="1"/>
  <c r="S10" i="8" s="1"/>
  <c r="R26" i="6"/>
  <c r="R27" i="6"/>
  <c r="T4" i="8" s="1"/>
  <c r="T10" i="8" s="1"/>
  <c r="R18" i="5"/>
  <c r="Q18" i="5"/>
  <c r="J21" i="8" l="1"/>
  <c r="J22" i="8" s="1"/>
  <c r="M20" i="7"/>
  <c r="M22" i="7" s="1"/>
  <c r="M9" i="8"/>
  <c r="H9" i="7"/>
  <c r="H14" i="7" s="1"/>
  <c r="H41" i="7" s="1"/>
  <c r="H44" i="7"/>
  <c r="I43" i="7"/>
  <c r="J42" i="7"/>
  <c r="H43" i="7"/>
  <c r="N19" i="7"/>
  <c r="L20" i="6"/>
  <c r="L24" i="6" s="1"/>
  <c r="M10" i="6"/>
  <c r="K25" i="6"/>
  <c r="M5" i="7"/>
  <c r="S25" i="7"/>
  <c r="R26" i="7"/>
  <c r="R27" i="7" s="1"/>
  <c r="J25" i="7"/>
  <c r="I26" i="7"/>
  <c r="I27" i="7" s="1"/>
  <c r="I6" i="7" s="1"/>
  <c r="I24" i="8" s="1"/>
  <c r="N11" i="7"/>
  <c r="N12" i="8" s="1"/>
  <c r="N14" i="8" s="1"/>
  <c r="K12" i="7"/>
  <c r="J13" i="7"/>
  <c r="O24" i="7"/>
  <c r="O17" i="8" s="1"/>
  <c r="O19" i="8" s="1"/>
  <c r="K21" i="8" l="1"/>
  <c r="K22" i="8" s="1"/>
  <c r="N20" i="7"/>
  <c r="N22" i="7" s="1"/>
  <c r="N9" i="8"/>
  <c r="L12" i="7"/>
  <c r="K13" i="7"/>
  <c r="O11" i="7"/>
  <c r="O12" i="8" s="1"/>
  <c r="O14" i="8" s="1"/>
  <c r="I9" i="7"/>
  <c r="I14" i="7" s="1"/>
  <c r="I41" i="7" s="1"/>
  <c r="I44" i="7"/>
  <c r="K25" i="7"/>
  <c r="J26" i="7"/>
  <c r="J27" i="7" s="1"/>
  <c r="J6" i="7" s="1"/>
  <c r="J24" i="8" s="1"/>
  <c r="T25" i="7"/>
  <c r="T26" i="7" s="1"/>
  <c r="T27" i="7" s="1"/>
  <c r="S26" i="7"/>
  <c r="S27" i="7" s="1"/>
  <c r="K26" i="6"/>
  <c r="K27" i="6" s="1"/>
  <c r="M4" i="8" s="1"/>
  <c r="M10" i="8" s="1"/>
  <c r="M20" i="8" s="1"/>
  <c r="M20" i="6"/>
  <c r="M24" i="6" s="1"/>
  <c r="O19" i="7"/>
  <c r="O9" i="8" s="1"/>
  <c r="L25" i="6"/>
  <c r="L26" i="6" s="1"/>
  <c r="L27" i="6" s="1"/>
  <c r="N4" i="8" s="1"/>
  <c r="N10" i="8" s="1"/>
  <c r="N20" i="8" s="1"/>
  <c r="N5" i="7"/>
  <c r="K42" i="7"/>
  <c r="K24" i="8" l="1"/>
  <c r="L21" i="8"/>
  <c r="L22" i="8" s="1"/>
  <c r="P11" i="7"/>
  <c r="P12" i="8" s="1"/>
  <c r="P14" i="8" s="1"/>
  <c r="M12" i="7"/>
  <c r="L13" i="7"/>
  <c r="P19" i="7"/>
  <c r="O20" i="7"/>
  <c r="O22" i="7" s="1"/>
  <c r="M25" i="6"/>
  <c r="M26" i="6" s="1"/>
  <c r="M27" i="6" s="1"/>
  <c r="O4" i="8" s="1"/>
  <c r="O10" i="8" s="1"/>
  <c r="O20" i="8" s="1"/>
  <c r="O5" i="7"/>
  <c r="P5" i="7" s="1"/>
  <c r="J9" i="7"/>
  <c r="J14" i="7" s="1"/>
  <c r="J41" i="7" s="1"/>
  <c r="J44" i="7"/>
  <c r="L25" i="7"/>
  <c r="K26" i="7"/>
  <c r="K27" i="7" s="1"/>
  <c r="K6" i="7" s="1"/>
  <c r="J43" i="7"/>
  <c r="L42" i="7"/>
  <c r="P9" i="8" l="1"/>
  <c r="P10" i="8" s="1"/>
  <c r="P20" i="8" s="1"/>
  <c r="P22" i="8" s="1"/>
  <c r="Q9" i="8"/>
  <c r="Q10" i="8" s="1"/>
  <c r="M21" i="8"/>
  <c r="M22" i="8" s="1"/>
  <c r="M42" i="7"/>
  <c r="K9" i="7"/>
  <c r="K14" i="7" s="1"/>
  <c r="K41" i="7" s="1"/>
  <c r="K44" i="7"/>
  <c r="M25" i="7"/>
  <c r="L26" i="7"/>
  <c r="L27" i="7" s="1"/>
  <c r="L6" i="7" s="1"/>
  <c r="L24" i="8" s="1"/>
  <c r="P20" i="7"/>
  <c r="P22" i="7" s="1"/>
  <c r="P27" i="7" s="1"/>
  <c r="P42" i="7"/>
  <c r="N12" i="7"/>
  <c r="M13" i="7"/>
  <c r="P13" i="7"/>
  <c r="Q11" i="7"/>
  <c r="Q12" i="8" s="1"/>
  <c r="Q14" i="8" s="1"/>
  <c r="K43" i="7"/>
  <c r="N21" i="8" l="1"/>
  <c r="N22" i="8" s="1"/>
  <c r="Q20" i="8"/>
  <c r="Q21" i="8"/>
  <c r="P6" i="7"/>
  <c r="P24" i="8" s="1"/>
  <c r="P9" i="7"/>
  <c r="P14" i="7" s="1"/>
  <c r="P41" i="7" s="1"/>
  <c r="P44" i="7"/>
  <c r="O12" i="7"/>
  <c r="O13" i="7" s="1"/>
  <c r="N13" i="7"/>
  <c r="L9" i="7"/>
  <c r="L14" i="7" s="1"/>
  <c r="L41" i="7" s="1"/>
  <c r="L44" i="7"/>
  <c r="N25" i="7"/>
  <c r="M26" i="7"/>
  <c r="M27" i="7" s="1"/>
  <c r="M6" i="7" s="1"/>
  <c r="M24" i="8" s="1"/>
  <c r="Q13" i="7"/>
  <c r="Q6" i="7" s="1"/>
  <c r="R11" i="7"/>
  <c r="R12" i="8" s="1"/>
  <c r="R14" i="8" s="1"/>
  <c r="R20" i="8" s="1"/>
  <c r="Q42" i="7"/>
  <c r="N42" i="7"/>
  <c r="L43" i="7"/>
  <c r="M43" i="7" l="1"/>
  <c r="P43" i="7"/>
  <c r="Q22" i="8"/>
  <c r="N24" i="8"/>
  <c r="O21" i="8"/>
  <c r="O22" i="8" s="1"/>
  <c r="O24" i="8" s="1"/>
  <c r="Q43" i="7"/>
  <c r="R42" i="7"/>
  <c r="O42" i="7"/>
  <c r="S11" i="7"/>
  <c r="S12" i="8" s="1"/>
  <c r="S14" i="8" s="1"/>
  <c r="S20" i="8" s="1"/>
  <c r="R13" i="7"/>
  <c r="R6" i="7" s="1"/>
  <c r="Q9" i="7"/>
  <c r="Q14" i="7" s="1"/>
  <c r="Q41" i="7" s="1"/>
  <c r="Q44" i="7"/>
  <c r="M9" i="7"/>
  <c r="M14" i="7" s="1"/>
  <c r="M41" i="7" s="1"/>
  <c r="M44" i="7"/>
  <c r="O25" i="7"/>
  <c r="O26" i="7" s="1"/>
  <c r="O27" i="7" s="1"/>
  <c r="O6" i="7" s="1"/>
  <c r="N26" i="7"/>
  <c r="N27" i="7" s="1"/>
  <c r="N6" i="7" s="1"/>
  <c r="N43" i="7" s="1"/>
  <c r="Q24" i="8" l="1"/>
  <c r="R21" i="8"/>
  <c r="R22" i="8" s="1"/>
  <c r="O43" i="7"/>
  <c r="S42" i="7"/>
  <c r="R43" i="7"/>
  <c r="N9" i="7"/>
  <c r="N14" i="7" s="1"/>
  <c r="N41" i="7" s="1"/>
  <c r="N44" i="7"/>
  <c r="O9" i="7"/>
  <c r="O14" i="7" s="1"/>
  <c r="O41" i="7" s="1"/>
  <c r="O44" i="7"/>
  <c r="R9" i="7"/>
  <c r="R14" i="7" s="1"/>
  <c r="R41" i="7" s="1"/>
  <c r="R44" i="7"/>
  <c r="S13" i="7"/>
  <c r="S6" i="7" s="1"/>
  <c r="T11" i="7"/>
  <c r="T13" i="7" l="1"/>
  <c r="T6" i="7" s="1"/>
  <c r="T9" i="7" s="1"/>
  <c r="T14" i="7" s="1"/>
  <c r="T41" i="7" s="1"/>
  <c r="T12" i="8"/>
  <c r="T14" i="8" s="1"/>
  <c r="T20" i="8" s="1"/>
  <c r="R24" i="8"/>
  <c r="S21" i="8"/>
  <c r="S22" i="8" s="1"/>
  <c r="S9" i="7"/>
  <c r="S14" i="7" s="1"/>
  <c r="S41" i="7" s="1"/>
  <c r="S44" i="7"/>
  <c r="T42" i="7"/>
  <c r="S43" i="7"/>
  <c r="T43" i="7" l="1"/>
  <c r="T44" i="7"/>
  <c r="S24" i="8"/>
  <c r="T21" i="8"/>
  <c r="T22" i="8"/>
  <c r="T24" i="8" s="1"/>
</calcChain>
</file>

<file path=xl/sharedStrings.xml><?xml version="1.0" encoding="utf-8"?>
<sst xmlns="http://schemas.openxmlformats.org/spreadsheetml/2006/main" count="580" uniqueCount="371">
  <si>
    <t>SỐ LƯỢNG KHÁCH HÀNG (CẢ 2 TRẠM)</t>
  </si>
  <si>
    <t>Tên dự án</t>
  </si>
  <si>
    <t>Tên</t>
  </si>
  <si>
    <t>RE-FILL</t>
  </si>
  <si>
    <t>Deadline</t>
  </si>
  <si>
    <t>GIẢ ĐỊNH DOANH THU, DỰ TOÁN BÁO CÁO THU NHẬP</t>
  </si>
  <si>
    <t>Thành viên nhóm</t>
  </si>
  <si>
    <t>Dương</t>
  </si>
  <si>
    <t>Chỉ tiêu</t>
  </si>
  <si>
    <t>hạn cuối hết thứ 2
(26/10)</t>
  </si>
  <si>
    <t>1. Đinh Ngọc Thùy Dương</t>
  </si>
  <si>
    <t>Số lượng</t>
  </si>
  <si>
    <t>Tú</t>
  </si>
  <si>
    <t>Giải thích</t>
  </si>
  <si>
    <t>2. Mai Thanh Cẩm Tú</t>
  </si>
  <si>
    <t>DỰ TOÁN BCĐKT + BCLCTT</t>
  </si>
  <si>
    <t>3. Hồ Thị Mỹ Trâm</t>
  </si>
  <si>
    <t>Phụng</t>
  </si>
  <si>
    <t>hạn cuối 22h thứ 4
(28/10)</t>
  </si>
  <si>
    <t>4. Nguyễn Thị Kim Tuyền</t>
  </si>
  <si>
    <t>Số khách hàng tháng 1</t>
  </si>
  <si>
    <t>Trâm</t>
  </si>
  <si>
    <t>THỜI GIAN HOÀN VỐN, NPV, IRR</t>
  </si>
  <si>
    <t>Tuyền</t>
  </si>
  <si>
    <t>5. Hồ Kim Phụng</t>
  </si>
  <si>
    <t>Khách mở đầu, khuyến mãi khai trương, quảng cáo thu hút khách hàng</t>
  </si>
  <si>
    <t>Mô tả chung về dự án</t>
  </si>
  <si>
    <t>Chi phí lương nhân viên theo tháng</t>
  </si>
  <si>
    <t>Số khách hàng tháng 2–12</t>
  </si>
  <si>
    <t>STT</t>
  </si>
  <si>
    <t>Tăng trưởng khách hàng mỗi năm</t>
  </si>
  <si>
    <t>Giả định</t>
  </si>
  <si>
    <t>Giá bán</t>
  </si>
  <si>
    <t>Nhân viên</t>
  </si>
  <si>
    <t>Giá bán tăng 3% qua mỗi năm</t>
  </si>
  <si>
    <t>Vị trí và nhiệm vụ</t>
  </si>
  <si>
    <t>Doanh thu tăng trưởng</t>
  </si>
  <si>
    <t>Doanh thu tăng 13% qua mỗi năm (khách hàng tăng 10% và giá bán tăng 3%)</t>
  </si>
  <si>
    <t>Mức lương/ tháng</t>
  </si>
  <si>
    <t>Trạm RE-FILL</t>
  </si>
  <si>
    <t>Tổng chi phí/tháng</t>
  </si>
  <si>
    <t>Khách bình quân mỗi trạm (tháng 1)</t>
  </si>
  <si>
    <t xml:space="preserve"> khách/trạm/tháng</t>
  </si>
  <si>
    <t>(đã bao gồm (BH + KPCĐ 23,5%)</t>
  </si>
  <si>
    <t>Số lượng 2
Diện tích: 3–4 m²</t>
  </si>
  <si>
    <t>Nguyễn Thị Kim Tuyền</t>
  </si>
  <si>
    <t>Quản lý chung / Giám sát vận hành &amp; Tài chính</t>
  </si>
  <si>
    <t>Giá thị trường
Phân khúc bình dân</t>
  </si>
  <si>
    <t>Giá bán ước tính/250ml</t>
  </si>
  <si>
    <t>Giá bán ước tính/100ml</t>
  </si>
  <si>
    <t>Giá bán ước tính/500ml</t>
  </si>
  <si>
    <t>Khách bình quân mỗi trạm (tháng 2–12)</t>
  </si>
  <si>
    <t xml:space="preserve"> BẢNG GIÁ SẢN PHẨM – NĂM 1</t>
  </si>
  <si>
    <t xml:space="preserve">Mặt bằng </t>
  </si>
  <si>
    <t>Tại Liên Chiểu</t>
  </si>
  <si>
    <t>Dầu gội</t>
  </si>
  <si>
    <t>Sản phẩm</t>
  </si>
  <si>
    <t>Dầu gội cao bồ kết Thorakao 250ml: 48.000
Dầu gội Dược liệu Nguyên Xuân Nâu 250ml: Giá khoảng 70.000đ – 79.000đ
Dầu gội Clear / Pantene / Head &amp; Shoulders (330ml - 380ml): Mức giá dao động từ 85.000đ – 115.000đ</t>
  </si>
  <si>
    <t>Giá /100ml</t>
  </si>
  <si>
    <t>Giá /250ml</t>
  </si>
  <si>
    <t>Giá /500ml</t>
  </si>
  <si>
    <t>Dầu gội BONNY</t>
  </si>
  <si>
    <t>Đinh Ngọc Thùy Dương</t>
  </si>
  <si>
    <t>Bộ phận chuỗi cung ứng:
Bộ phận chuỗi cung ứng
Nhập hàng BONNY,  điều phối sản phẩm nạp ra 2 trạm, kiểm tra chất lượng, vệ sinh, 
bảo trì máy chiết rót; Phụ trách trạm 1: bật máy chiết rót lúc 8:00, tắt máy và vệ sinh lúc 21:00, 
bổ sung và kiểm tra dung dịch hỗ trợ khách, giao hàng online cho trạm 1</t>
  </si>
  <si>
    <t>Sữa tắm BONNY</t>
  </si>
  <si>
    <t>Nước rửa chén BONNY</t>
  </si>
  <si>
    <t>Hồ Kim Phụng</t>
  </si>
  <si>
    <t>Bộ phận Tài chính- kế toán:
Thu–chi, đối soát doanh thu, theo dõi tồn kho và giá vốn, kê khai thuế, chấm công, tính lương nhân viên, lập báo cáo tài chính.</t>
  </si>
  <si>
    <t>Hồ Thị Mỹ Trâm</t>
  </si>
  <si>
    <t>Bộ phận Marketing:
Tìm kiếm và phát triển khách hàng
Chạy quảng cáo Facebook/TikTok, vận hành chương trình khuyến mãi, quản lý fanpage, 
theo dõi phản hồi và giải đáp thắc mắc của khách hàng trên các kênh trực tuyến. 
Đồng thời, Trâm tiếp nhận và xác nhận thông tin đơn hàng, sau đó phối hợp với Dương và Tú 
để chuẩn bị và giao hàng.</t>
  </si>
  <si>
    <t>Mai Thanh Cẩm Tú</t>
  </si>
  <si>
    <t>Bộ phận kinh doanh:
Khảo sát, thương lượng địa điểm (ký túc xá, chung cư, khu dân cư), 
phụ trách trạm 2: bật máy chiết rót lúc 8:00, tắt máy và vệ sinh lúc 21:00, bổ sung và kiểm tra
 dung dịch, hỗ trợ khách, giao hàng online cho trạm 2.</t>
  </si>
  <si>
    <t>LƯỢNG NẠP VÀ DOANH THU BÌNH QUÂN MỖI KHÁCH MỖI THÁNG</t>
  </si>
  <si>
    <t>link</t>
  </si>
  <si>
    <t>Danh mục</t>
  </si>
  <si>
    <t>Tổng</t>
  </si>
  <si>
    <t>Lượng nạp (ml/khách/tháng)</t>
  </si>
  <si>
    <t>Tỷ lệ sản lượng</t>
  </si>
  <si>
    <t>Doanh thu/khách/ tháng (đ)</t>
  </si>
  <si>
    <t>Giá vốn/khách (đ)</t>
  </si>
  <si>
    <t>Giá vốn/lít</t>
  </si>
  <si>
    <t>33.3%</t>
  </si>
  <si>
    <t>Tại Ngũ Hành Sơn</t>
  </si>
  <si>
    <t>Sữa tắm</t>
  </si>
  <si>
    <t>Sữa tắm Lifebuoy chăm sóc da chai 250g: 58.000
Sữa tắm gội Lactacyd Baby Extra Milky 250ml: 100.000</t>
  </si>
  <si>
    <t>Chi phí pháp lý quản lý doanh nghiệp</t>
  </si>
  <si>
    <t>Khoản mục</t>
  </si>
  <si>
    <t>Năm 0</t>
  </si>
  <si>
    <t>Link (nguồn)</t>
  </si>
  <si>
    <t>Nước rửa chén</t>
  </si>
  <si>
    <t>Lệ phí đăng ký thành lập doanh nghiệp (Giấy phép KD)</t>
  </si>
  <si>
    <t>Tổng lượng nạp</t>
  </si>
  <si>
    <t>Link</t>
  </si>
  <si>
    <t>100.0%</t>
  </si>
  <si>
    <t>Công suất làm việc máy</t>
  </si>
  <si>
    <t>8h-21h</t>
  </si>
  <si>
    <t>Tỷ lệ giá vốn / doanh thu</t>
  </si>
  <si>
    <t>Nước rửa chén hương Chanh Sunlight 400g: 26.000
Nước rửa chén Mỹ Hảo 200ml: 18.000</t>
  </si>
  <si>
    <t>Lệ phí công bố thông tin đăng ký doanh nghiệp</t>
  </si>
  <si>
    <t>CHƯƠNG TRÌNH KHUYẾN MÃI</t>
  </si>
  <si>
    <t>THÁNG 1- NĂM 1</t>
  </si>
  <si>
    <t>Giảm 10%/ tổng giá trị đơn hàng</t>
  </si>
  <si>
    <t>DOANH THU VÀ GIÁ VỐN THEO THÁNG – NĂM 1</t>
  </si>
  <si>
    <t>DỰ TOÁN THUẾ GTGT – PHƯƠNG PHÁP TRỰC TIẾP TRÊN DOANH THU</t>
  </si>
  <si>
    <t>Tháng 1</t>
  </si>
  <si>
    <t>Tháng 2</t>
  </si>
  <si>
    <t>Tháng 3</t>
  </si>
  <si>
    <t>Tháng 4</t>
  </si>
  <si>
    <t>Tháng 5</t>
  </si>
  <si>
    <t>Tháng 6</t>
  </si>
  <si>
    <t>Tháng 7</t>
  </si>
  <si>
    <t>Tháng 8</t>
  </si>
  <si>
    <t>Tháng 9</t>
  </si>
  <si>
    <t>Tháng 10</t>
  </si>
  <si>
    <t>Tháng 11</t>
  </si>
  <si>
    <t>Tháng 12</t>
  </si>
  <si>
    <t>Năm 1</t>
  </si>
  <si>
    <t>Số lượng khách hàng</t>
  </si>
  <si>
    <t>Giả định: công ty đủ điều kiện tính trực tiếp; bán lại hàng hóa thành phẩm, không tự sản xuất</t>
  </si>
  <si>
    <t>Doanh thu dầu gội</t>
  </si>
  <si>
    <t>Chi phí trang thiết bị</t>
  </si>
  <si>
    <r>
      <rPr>
        <b/>
        <sz val="14"/>
        <color theme="1"/>
        <rFont val="Times New Roman"/>
      </rPr>
      <t>Theo khoản 1 Điều 12 Luật Thuế giá trị gia tăng số 48/2024/QH15</t>
    </r>
    <r>
      <rPr>
        <sz val="14"/>
        <color theme="1"/>
        <rFont val="Times New Roman"/>
      </rPr>
      <t>, quy định về phương pháp tính thuế GTGT trực tiếp trên doanh thu như sau:</t>
    </r>
  </si>
  <si>
    <t>Đơn vị</t>
  </si>
  <si>
    <t>Tỷ lệ GTGT trực tiếp – phân phối hàng hóa</t>
  </si>
  <si>
    <t>Đơn giá</t>
  </si>
  <si>
    <t>Thành tiền</t>
  </si>
  <si>
    <t>CHI PHÍ SẢN PHẨM NẠP- THÁNG 1</t>
  </si>
  <si>
    <t>Nhân sự</t>
  </si>
  <si>
    <t xml:space="preserve">Số lượng: 5
- Nguyễn Thị Kim Tuyền
+ Quản lý chung- giám sát vận hành tài chính
- Đinh Ngọc Thùy Dương
+ Bộ phận chuỗi cung ứng
+ Nhập hàng BONNY,  điều phối sản phẩm nạp ra 2 trạm, kiểm tra chất lượng, vệ sinh, bảo trì máy chiết rót; Phụ trách trạm 1: bật máy chiết rót lúc 8:00, tắt máy và vệ sinh lúc 21:00,
 bổ sung và kiểm tra dung dịch, hỗ trợ khách, giao hàng online cho trạm 1.
giao hàng online cho trạm 1.
- Hồ Kim Phụng
+ Bộ phận Tài chính- kế toán
+ Thu–chi, đối soát doanh thu, theo dõi tồn kho và giá vốn, kê khai thuế, chấm công, tính lương nhân viên, lập báo cáo tài chính.
- Hồ Thị Mỹ Trâm
+ Bộ phận Marketing
+ Tìm kiếm và phát triển khách hàng
+ Chạy quảng cáo Facebook/TikTok, vận hành chương trình khuyến mãi, quản lý fanpage, theo dõi phản hồi và giải đáp thắc mắc của khách hàng trên các kênh trực tuyến. 
Đồng thời, Trâm tiếp nhận và xác nhận thông tin đơn hàng, sau đó phối hợp với Dương hoặc Tú để chuẩn bị và giao hàng.
- Mai Thanh Cẩm Tú
+ Bộ phận kinh doanh
+ Khảo sát, thương lượng địa điểm (ký túc xá, chung cư, khu dân cư), phụ trách trạm 2: bật máy chiết rót lúc 8:00, tắt máy và vệ sinh lúc 21:00, 
bổ sung và kiểm tra dung dịch, hỗ trợ khách, giao hàng online cho trạm 2.
</t>
  </si>
  <si>
    <t>Máy chiết dung dịch tự động PUKUI</t>
  </si>
  <si>
    <t>Giảm tỷ lệ theo chính sách ưu đãi (nếu đủ điều kiện)</t>
  </si>
  <si>
    <t>Máy</t>
  </si>
  <si>
    <t>Tỷ lệ GTGT thực tế áp dụng</t>
  </si>
  <si>
    <t>Lương Nhân sự</t>
  </si>
  <si>
    <t>- Đinh Ngọc Thùy Dương
Mức lương= lương/ tháng+ chi phí bảo hiểm, kinh phí công đoàn(23,5%) = 8.645.000 đ
- Mai Thanh Cẩm Tú
Mức lương= lương/ tháng+ chi phí bảo hiểm, kinh phí công đoàn(23,5%)=  8.027.500 đ
- Hồ Thị Mỹ Trâm
Mức lương= lương/ tháng+ chi phí bảo hiểm, kinh phí công đoàn(23,5%)= 8.027.500 đ
- Nguyễn Thị Kim Tuyền
Mức lương= lương/ tháng+ chi phí bảo hiểm, kinh phí công đoàn(23,5%)= 12.350.000 đ
- Hồ Kim Phụng
Mức lương= lương/ tháng+ chi phí bảo hiểm, kinh phí công đoàn(23,5%)=  8.645.000 đ</t>
  </si>
  <si>
    <t>Doanh thu sữa tắm</t>
  </si>
  <si>
    <t>Giá vốn</t>
  </si>
  <si>
    <t>Dầu gội Bonny:  38.500đ/ 1 lít
Sữa tắm Bonny: 38.500đ/ 1 lít
Nước rửa chén Bonny: 25.800đ/ 1 lít</t>
  </si>
  <si>
    <t>Giá vốn hàng bán
tăng mỗi năm</t>
  </si>
  <si>
    <t>Giá vốn mỗi lít được giả định tăng 3% mỗi năm nhằm phản ánh sự gia tăng của giá nguyên liệu đầu vào do tác động của lạm phát. 
Mức tăng này được áp dụng trên giá vốn của năm trước, kết hợp với sản lượng nạp dự kiến tăng qua từng năm để xác định tổng chi phí nguyên liệu trong kỳ. 
Theo số liệu, CPI bình quân của Việt Nam giai đoạn 2016–2025 ở mức khoảng 3,09%/năm. 
Giả định tăng giá vốn 3%/năm được lựa chọn làm cơ sở dự báo, phù hợp với xu hướng biến động giá cả trong dài hạn.</t>
  </si>
  <si>
    <t>Link tham khảo</t>
  </si>
  <si>
    <t>Năm 2</t>
  </si>
  <si>
    <t>Doanh thu nước rửa chén</t>
  </si>
  <si>
    <t>Năm 3</t>
  </si>
  <si>
    <t>Năm 4</t>
  </si>
  <si>
    <t>Năm 5</t>
  </si>
  <si>
    <t>Doanh thu bán hàng (đã gồm GTGT theo trực tiếp)</t>
  </si>
  <si>
    <t>Chưa tính chi phí vận chuyển + Thuế</t>
  </si>
  <si>
    <t>Hao hụt chiết rót</t>
  </si>
  <si>
    <t>Giả định tỷ lệ hao hụt nguyên liệu ở mức 3% giá vốn nhằm dự phòng lượng dung dịch thất thoát.</t>
  </si>
  <si>
    <t xml:space="preserve">Tổng doanh thu </t>
  </si>
  <si>
    <t>Link(nguồn)</t>
  </si>
  <si>
    <t>Máy POS bán hàng cảm ứng 2 màn hình</t>
  </si>
  <si>
    <t>Hàng tồn kho</t>
  </si>
  <si>
    <t>Nhập hàng theo nhu cầu bán, bổ sung thường xuyên và không còn hàng tồn kho đáng kể vào cuối mỗi kỳ.
RE-FILL dự kiến triển khai bán hàng trực tiếp tại trạm refill kết hợp bán hàng online thông qua các kênh trực tuyến. 
Đối với hoạt động tại trạm, doanh nghiệp chủ động bổ sung sản phẩm định kỳ dựa trên nhu cầu tiêu thụ dự kiến. 
Đối với kênh online, doanh nghiệp tiếp nhận đơn đặt hàng, tổng hợp nhu cầu và tổ chức chuẩn bị hàng hóa theo đơn nhằm hạn chế lượng hàng lưu kho.</t>
  </si>
  <si>
    <t>Khuyến mãi khai trương (giảm trừ)</t>
  </si>
  <si>
    <t>-</t>
  </si>
  <si>
    <t>Doanh thu thuần</t>
  </si>
  <si>
    <t>Giá thị trường của dầu gội (dao động từ 48.000 đến 115.000đ/250ml), sữa tắm (dao động từ 58.000 đến 100.000đ/250ml), nước rửa chén(dao động từ 18.000 đến 26.000đ/250ml), 
dự án giả định mức giá refill thấp hơn 20% so với giá tham chiếu nhằm tạo lợi thế cạnh tranh, tiết kiệm chi phí cho khách hàng và khuyến khích tái sử dụng chai đựng.
Trong các năm tiếp theo, giá bán được giả định tăng 3%/năm để bù đắp mức tăng chi phí đầu vào do lạm phát, đồng thời duy trì tính cạnh tranh của sản phẩm.
Giá refill(đã làm tròn):
Dầu gội Bonny: (15.000 đ/100ml, 38.000 đ/250ml, 77.000 đ/ 500ml)
Sữa tắm Bonny: (19.000 đ/100ml, 46.000 đ/250ml, 93.000 đ/ 500ml)
Nước rửa chén Bonny:( 7.000 đ/100ml, 18.000 đ/250ml, 36.000 đ/ 500ml)</t>
  </si>
  <si>
    <t>Khuyến mãi khai trương
trạm</t>
  </si>
  <si>
    <t>Triển khai ở tháng đầu tiên, giảm 10% cho tổng đơn hàng
Ngân sách khuyến mãi cho cả 2 trạm: 2.000.000 đ</t>
  </si>
  <si>
    <t>Khách hàng</t>
  </si>
  <si>
    <t>Tháng 1: tổng 600 khách hàng cho cả 2 trạm
Tháng 2 đến tháng 12: Tăng lên 650 khách hàng cho cả 2 trạm
Tăng trưởng khách hàng mỗi năm: 10%</t>
  </si>
  <si>
    <t xml:space="preserve">Dầu gội BONNY </t>
  </si>
  <si>
    <t>Doanh thu theo tháng 
-  năm 1</t>
  </si>
  <si>
    <t>Giả định:
- Số khách hàng trung bình mỗi trạm: 300 người/ 1 trạm
- Mỗi khách nạp 250ml mỗi sản phẩm/ 1 tháng
- Tổng sản lượng nạp: 250 ml x 3 = 750 ml
+ Tháng 1 600 khách hàng 2 trạm
Doanh thu dầu gội = số lượng nạp x số lượng khách hàng x giá bán= 22.800.000 đ
Doanh thu nước rửa chén = số lượng nạp x số lượng khách hàng x giá bán= 10.800.000 đ
Doanh thu sữa tắm = số lượng nạp x số lượng khách hàng x giá bán= 27.600.000 đ
Tổng doanh thu tháng 1 năm 1= Doanh thu dầu gội + doanh thu nước rửa chén + doanh thu sữa tắm=61.200.000 đ
+ Tháng 2-12 650 khách hàng 2 trạm
Doanh thu dầu gội(tháng) = số lượng nạp x số lượng khách hàng x giá bán= 24.700.000 đ
Doanh thu nước rửa chén(tháng) = số lượng nạp x số lượng khách hàng x giá bán= 11.700.000 đ
Doanh thu sữa tắm(tháng) = số lượng nạp x số lượng khách hàng x giá bán= 29.900.000 đ
Tổng doanh thu tháng 2-12 năm 1(tháng)= Doanh thu dầu gội + doanh thu nước rửa chén + doanh thu sữa tắm=66.300.000 đ</t>
  </si>
  <si>
    <t>Lít</t>
  </si>
  <si>
    <t>Doanh thu tăng trưởng
hàng năm</t>
  </si>
  <si>
    <t>Doanh thu tăng 13%/ năm (tăng trưởng khách hàng 10% và giá bán tăng 3%)</t>
  </si>
  <si>
    <t>Sản lượng dầu gội (lít)</t>
  </si>
  <si>
    <t>Thuế TNDN</t>
  </si>
  <si>
    <t xml:space="preserve">15% (doanh nghiệp có tổng doanh thu năm không quá 3 tỷ đồng). </t>
  </si>
  <si>
    <t>Điều 10, Luật Thuế Thu nhập doanh nghiệp 2025 
(Luật số 67/2025/QH15)</t>
  </si>
  <si>
    <t>Tài sản cố định</t>
  </si>
  <si>
    <t>Trang thiết bị nguyên giá: 91.182.000đ
 khấu hao đường thẳng 5 năm</t>
  </si>
  <si>
    <t>Gồm 2 máy chiết rót, 2 máy POS và dụng cụ trạm 
( sheet Giả định chi phí). 
Không mua thêm TSCĐ trong 5 năm</t>
  </si>
  <si>
    <t>Giảm trừ bán hàng / khuyến mãi</t>
  </si>
  <si>
    <t>Sản lượng sữa tắm (lít)</t>
  </si>
  <si>
    <t>Tồn kho bình quân 5 ngày giá vốn; 
phải thu 2 ngày doanh thu; phải trả nhà 
cung cấp 15 ngày</t>
  </si>
  <si>
    <t>Nhập hàng theo nhu cầu nên tồn kho thấp</t>
  </si>
  <si>
    <t>Túi đựng dung dịch có nắp vặn 3L ( Bao bì đóng gói đơn hàng online )</t>
  </si>
  <si>
    <t>Vốn đầu tư ban đầu</t>
  </si>
  <si>
    <t xml:space="preserve">Túi </t>
  </si>
  <si>
    <t>Doanh thu tính thuế GTGT</t>
  </si>
  <si>
    <t>Đầu tư ban đầu 91.832.000đ; 
góp vốn chủ sở hữu: 250 triệu (Năm 0), 
100 triệu (Năm 2), 50 triệu (Năm 3)</t>
  </si>
  <si>
    <t>Không vay nợ. Vốn góp bù lỗ để tiền mặt không âm.</t>
  </si>
  <si>
    <t>Sản lượng nước rửa chén (lít)</t>
  </si>
  <si>
    <t>Tỷ lệ GTGT trực tiếp</t>
  </si>
  <si>
    <t>Giá vốn dầu gội</t>
  </si>
  <si>
    <t>Thuế GTGT phải nộp</t>
  </si>
  <si>
    <t xml:space="preserve">Sữa tắm BONNY </t>
  </si>
  <si>
    <t>Decal logo RE-FILL, nhãn dán 3 loại sản phẩm và hướng dẫn sử dụng</t>
  </si>
  <si>
    <t>Bộ</t>
  </si>
  <si>
    <t>Giá vốn sữa tắm</t>
  </si>
  <si>
    <t>Doanh thu thuần sau GTGT</t>
  </si>
  <si>
    <t xml:space="preserve">Nước rửa chén BONNY </t>
  </si>
  <si>
    <t>Bảng mica nhận diện thương hiệu  RE-FILL 30 × 40 cm</t>
  </si>
  <si>
    <t>Cái</t>
  </si>
  <si>
    <t>Thuế GTGT đầu vào khấu trừ</t>
  </si>
  <si>
    <t>Giá vốn nước rửa chén</t>
  </si>
  <si>
    <t>Chi phí vận chuyển dầu gội, sữa tắm,
nước rửa chén</t>
  </si>
  <si>
    <t>Bảng menu sản phẩm ( In decal bồi formex 3mm-5mm.)</t>
  </si>
  <si>
    <t>Phễu chiết rót lọc dung dịch</t>
  </si>
  <si>
    <t>Tổng giá vốn hàng bán</t>
  </si>
  <si>
    <t>DOANH THU VÀ GIÁ VỐN THEO NĂM</t>
  </si>
  <si>
    <t>Dụng cụ làm sạch chai đựng dung dịch của khách hàng</t>
  </si>
  <si>
    <t>Số khách hàng bình quân mỗi tháng</t>
  </si>
  <si>
    <t>Tổng lượt khách trong năm</t>
  </si>
  <si>
    <t>Ca đong có chia vạch (1000ml)</t>
  </si>
  <si>
    <t>Chi phí cố định ( áp dụng cho 2 cơ sở)</t>
  </si>
  <si>
    <t>Năm 1(tính theo tháng)</t>
  </si>
  <si>
    <t>A</t>
  </si>
  <si>
    <t xml:space="preserve">Chi phí nhân sự </t>
  </si>
  <si>
    <t>Lương quản lý chung</t>
  </si>
  <si>
    <t>Lương trưởng bộ phận Sản xuất &amp; Vận hành</t>
  </si>
  <si>
    <t>Lương trưởng bộ phận Tài chính – Kế toán</t>
  </si>
  <si>
    <t>Tăng trưởng doanh thu thuần</t>
  </si>
  <si>
    <t>Lương trưởng bộ phận Marketing</t>
  </si>
  <si>
    <t>Lương trưởng bộ phận Kinh doanh</t>
  </si>
  <si>
    <t>B</t>
  </si>
  <si>
    <t>Chi phí mặt bằng (2 cơ sở)</t>
  </si>
  <si>
    <t>Thuê mặt bằng kinh doanh và lưu kho</t>
  </si>
  <si>
    <t>DỰ TOÁN BÁO CÁO THU NHẬP</t>
  </si>
  <si>
    <t>C</t>
  </si>
  <si>
    <t>Chi phí vận hành cố định</t>
  </si>
  <si>
    <t>BẢNG TỔNG HỢP</t>
  </si>
  <si>
    <t>Điện cố định</t>
  </si>
  <si>
    <t>Tỷ lệ thuế TNDN</t>
  </si>
  <si>
    <t>Tăng lương/năm</t>
  </si>
  <si>
    <t>Doanh thu</t>
  </si>
  <si>
    <t>Chi phí đầu tư ban đầu</t>
  </si>
  <si>
    <t>DỰ TOÁN BẢNG CÂN ĐỐI KẾ TOÁN</t>
  </si>
  <si>
    <t>Nước cố định</t>
  </si>
  <si>
    <t>Ký hiệu và công thức tính</t>
  </si>
  <si>
    <t>Bảo trì, bảo dưỡng thiết bị</t>
  </si>
  <si>
    <t xml:space="preserve">Năm 4 </t>
  </si>
  <si>
    <t>TÀI SẢN</t>
  </si>
  <si>
    <t>Đăng ký hộ kinh doanh và chuẩn bị hợp đồng</t>
  </si>
  <si>
    <t>A. TÀI SẢN NGẮN HẠN</t>
  </si>
  <si>
    <t>Tiền mặt cần thiết</t>
  </si>
  <si>
    <t>Tiền mặt thặng dư</t>
  </si>
  <si>
    <t>Khoản phải thu</t>
  </si>
  <si>
    <t>GIẢI THÍCH BẢNG CHI PHÍ CỐ ĐỊNH</t>
  </si>
  <si>
    <t>(Các khoản giảm trừ 
doanh thu)</t>
  </si>
  <si>
    <t>Tổng tài sản ngắn hạn</t>
  </si>
  <si>
    <t>B. TÀI SẢN DÀI HẠN</t>
  </si>
  <si>
    <t>Nguyên giá tài sản cố định</t>
  </si>
  <si>
    <t>Trừ: Khấu hao tích lũy</t>
  </si>
  <si>
    <t>Tài sản cố định ròng</t>
  </si>
  <si>
    <t>TỔNG TÀI SẢN</t>
  </si>
  <si>
    <t>NGUỒN VỐN</t>
  </si>
  <si>
    <t>A. NỢ</t>
  </si>
  <si>
    <t>Nợ ngắn hạn</t>
  </si>
  <si>
    <t>Chi phí biến đổi</t>
  </si>
  <si>
    <t>Khoản phải trả</t>
  </si>
  <si>
    <t>Tiền công và phải trả khác</t>
  </si>
  <si>
    <t>Tổng nợ ngắn hạn</t>
  </si>
  <si>
    <t>Nợ dài hạn</t>
  </si>
  <si>
    <t>Giá vốn hàng bán</t>
  </si>
  <si>
    <t>Tổng nợ</t>
  </si>
  <si>
    <t>B. VỐN CHỦ SỞ HỮU</t>
  </si>
  <si>
    <t>Vốn chủ sở hữu</t>
  </si>
  <si>
    <t>Lợi nhuận giữ lại</t>
  </si>
  <si>
    <t>Tổng vốn chủ</t>
  </si>
  <si>
    <t>TỔNG CỘNG NGUỒN VỐN</t>
  </si>
  <si>
    <t>Hao hụt khi chiết rót</t>
  </si>
  <si>
    <t>(Giá vốn hàng bán)</t>
  </si>
  <si>
    <t>Vật tư vệ sinh (cồn khử khuẩn, xà phòng, cọ, găng tay,...)</t>
  </si>
  <si>
    <t>Khuyến mãi khai trương</t>
  </si>
  <si>
    <t>DỰ TOÁN BÁO CÁO LƯU CHUYỂN TIỀN TỆ</t>
  </si>
  <si>
    <t>CHI PHẢI KHẤU HAO TÀI SẢN CỐ ĐỊNH</t>
  </si>
  <si>
    <t>Ký hiệu và công thức</t>
  </si>
  <si>
    <t>Thời gian khấu hao 
(Năm)</t>
  </si>
  <si>
    <t>Tài sản</t>
  </si>
  <si>
    <t>(Hao hụt khi chiết rót) (3% giá vốn)</t>
  </si>
  <si>
    <t>DÒNG TIỀN TỪ HOẠT ĐỘNG KINH DOANH</t>
  </si>
  <si>
    <t>Trang thiết bị trạm RE-FILL</t>
  </si>
  <si>
    <t>Thu nhập ròng</t>
  </si>
  <si>
    <t>Lợi nhuận gộp</t>
  </si>
  <si>
    <t>Chi phí MARKETING</t>
  </si>
  <si>
    <t>Chi phí chung</t>
  </si>
  <si>
    <t>Lương nhân sự</t>
  </si>
  <si>
    <t>Chi phí Quảng cáo Facebook Ads / TikTok Ads</t>
  </si>
  <si>
    <t>50.000 đ / ngày</t>
  </si>
  <si>
    <t>50 ngày</t>
  </si>
  <si>
    <t>70 ngày</t>
  </si>
  <si>
    <t>90 ngày</t>
  </si>
  <si>
    <t>100 ngày</t>
  </si>
  <si>
    <t>110 ngày</t>
  </si>
  <si>
    <t>LINK</t>
  </si>
  <si>
    <t>Chi phí sản xuất nội dung (Video TikTok, Banner truyền thông)</t>
  </si>
  <si>
    <t>350.000 đ / video</t>
  </si>
  <si>
    <t>10 video</t>
  </si>
  <si>
    <t>11 video</t>
  </si>
  <si>
    <t>13 video</t>
  </si>
  <si>
    <t>14 video</t>
  </si>
  <si>
    <t>Thuê mặt bằng (2 trạm)</t>
  </si>
  <si>
    <t>Khấu hao ( giá trị dương)</t>
  </si>
  <si>
    <t>Tăng(giảm) các khoản phải thu</t>
  </si>
  <si>
    <t>Tăng (giảm) hàng tồn kho</t>
  </si>
  <si>
    <t>Tăng (giảm) các khoản phải trả</t>
  </si>
  <si>
    <t>Tăng (giảm) tiền công cần trả</t>
  </si>
  <si>
    <t>Lưu chuyển tiền thuần từ hoạt động kinh doanh</t>
  </si>
  <si>
    <t>7=1+2+3+4+5+6</t>
  </si>
  <si>
    <t>DÒNG TIỀN TỪ HOẠT ĐỘNG ĐẦU TƯ</t>
  </si>
  <si>
    <t>Mua sắm tài sản cố định</t>
  </si>
  <si>
    <t>Tăng (giảm) nguyên giá TSCĐ</t>
  </si>
  <si>
    <t>Lưu chuyển tiền thuần từ hoạt động đầu tư</t>
  </si>
  <si>
    <t>10=8+9</t>
  </si>
  <si>
    <t>DÒNG TIỀN TỪ HOẠT ĐỘNG TÀI CHÍNH</t>
  </si>
  <si>
    <t>Tăng (giảm) nợ vay</t>
  </si>
  <si>
    <t>Tăng (giảm) vốn góp của chủ sở hữu</t>
  </si>
  <si>
    <t>Chi trả lợi nhuận cho chủ sở hữu</t>
  </si>
  <si>
    <t>Lưu chuyển tiền thuần từ hoạt động tài chính</t>
  </si>
  <si>
    <t>14=11+12-13</t>
  </si>
  <si>
    <t>Lưu chuyển tiền thuần trong tháng</t>
  </si>
  <si>
    <t>15=7+10+14</t>
  </si>
  <si>
    <t>Tiền mặt đầu kỳ</t>
  </si>
  <si>
    <t>Tiền mặt cuối kỳ</t>
  </si>
  <si>
    <t>17=15+16</t>
  </si>
  <si>
    <t>Chi phí điện</t>
  </si>
  <si>
    <t>Chi phí nước</t>
  </si>
  <si>
    <t>Vật tư vệ sinh</t>
  </si>
  <si>
    <t>Chi phí quảng cáo Facebook/TikTok</t>
  </si>
  <si>
    <t>Chi phí sản xuất nội dung</t>
  </si>
  <si>
    <t>Chi phí khấu hao TSCĐ</t>
  </si>
  <si>
    <t>Chi phí khác (chưa có giả định)</t>
  </si>
  <si>
    <t>Tổng chi phí nhân sự</t>
  </si>
  <si>
    <t>Tổng chi phí mặt bằng và vận hành</t>
  </si>
  <si>
    <t>Tổng chi phí marketing</t>
  </si>
  <si>
    <t>Tổng chi phí khấu hao và khác</t>
  </si>
  <si>
    <t>Tổng chi phí hoạt động</t>
  </si>
  <si>
    <t>Lợi nhuận trước thuế</t>
  </si>
  <si>
    <t>Thuế thu nhập doanh nghiệp (xét miễn 3 năm đầu)</t>
  </si>
  <si>
    <t>Lợi nhuận ròng (LNST)</t>
  </si>
  <si>
    <t>Chú thích:</t>
  </si>
  <si>
    <t xml:space="preserve">1. Điều kiện áp dụng chính sách miễn Thuế TNDN: </t>
  </si>
  <si>
    <t xml:space="preserve"> https://chinhsachonline.chinhphu.vn/dieu-kien-ap-dung-chinh-sach-mien-thue-thu-nhap-doanh-nghiep-85100.htm</t>
  </si>
  <si>
    <t>2.  Theo Khoản 2 Điều 11 – Thuế suất TNDN:</t>
  </si>
  <si>
    <t>https://datafiles.chinhphu.vn/cpp/files/vbpq/2025/7/67qh.signed.pdf</t>
  </si>
  <si>
    <t>(2)=(18)-(1)-(3)-(4)-(8)</t>
  </si>
  <si>
    <t>(5)=(1)+(2)+(3)+(4)</t>
  </si>
  <si>
    <t>(8)=(6)+(7)</t>
  </si>
  <si>
    <t>(9)=(5)+(8)</t>
  </si>
  <si>
    <t>(12)=(10)+(11)</t>
  </si>
  <si>
    <t>(14)=(12)+(13)</t>
  </si>
  <si>
    <t>(17)=(15)+(16)</t>
  </si>
  <si>
    <t>(18)=(14)+(17)</t>
  </si>
  <si>
    <t>Số ngày tồn kho (theo giá vốn hàng bán)</t>
  </si>
  <si>
    <t>Sheet Giả định, mục 18</t>
  </si>
  <si>
    <t>Số ngày phải thu (theo doanh thu sau khuyến mãi)</t>
  </si>
  <si>
    <t>Số ngày phải trả nhà cung cấp (giá vốn + hao hụt)</t>
  </si>
  <si>
    <t>Số ngày lương chưa chi trả cuối kỳ</t>
  </si>
  <si>
    <t>Giả định bổ sung: lương tháng trả vào đầu tháng sau</t>
  </si>
  <si>
    <t>Số ngày chi phí bằng tiền dự trữ làm tiền mặt cần thiết</t>
  </si>
  <si>
    <t>Giả định bổ sung: dự trữ 7 ngày chi phí</t>
  </si>
  <si>
    <t>Số ngày trong tháng</t>
  </si>
  <si>
    <t>Quy ước tính toán</t>
  </si>
  <si>
    <t>Số ngày trong năm</t>
  </si>
  <si>
    <t>Dư nợ vay</t>
  </si>
  <si>
    <t>Sheet Giả định, mục 19: không vay nợ</t>
  </si>
  <si>
    <t>GIẢ ĐỊNH DÙNG CHO DỰ TOÁN BCĐKT</t>
  </si>
  <si>
    <t>Vốn góp chủ sở hữu trong kỳ</t>
  </si>
  <si>
    <t>KIỂM TRA</t>
  </si>
  <si>
    <t>Tổng tài sản - Tổng nguồn vốn</t>
  </si>
  <si>
    <t>Tiền mặt cuối kỳ theo dòng tiền (gián tiếp)</t>
  </si>
  <si>
    <t>Chênh lệch với tiền mặt trên BCĐKT</t>
  </si>
  <si>
    <t>Tình trạng tiền mặt thặng dư</t>
  </si>
  <si>
    <t>Sheet Giả định, mục 19</t>
  </si>
  <si>
    <t>Kiểm tra: Tiền mặt cuối kỳ - Tiền mặt trên BCĐKT</t>
  </si>
  <si>
    <t>Ghi chú: (8) mua sắm TSCĐ = phần tăng nguyên giá trên BCĐKT; (9) để 0 vì không thanh lý TSCĐ; (13) để 0 vì chưa chia lợi nhuận. Cột Năm 1 là tổng 12 tháng, đầu kỳ Năm 1 = cuối kỳ Năm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</si>
</sst>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đ-42A]"/>
    <numFmt numFmtId="165" formatCode="&quot;THÁNG &quot;m\-d"/>
    <numFmt numFmtId="166" formatCode="0.0"/>
    <numFmt numFmtId="167" formatCode="&quot;Tháng &quot;m\-d"/>
    <numFmt numFmtId="168" formatCode="#,##0\ [$đ-42A];\-#,##0\ [$đ-42A];&quot;-&quot;"/>
  </numFmts>
  <fonts count="62">
    <font>
      <sz val="10"/>
      <color rgb="FF000000"/>
      <name val="Arial"/>
      <scheme val="minor"/>
    </font>
    <font>
      <sz val="13"/>
      <color theme="1"/>
      <name val="Times New Roman"/>
    </font>
    <font>
      <b/>
      <sz val="12"/>
      <color rgb="FFFFFFFF"/>
      <name val="Arial"/>
      <scheme val="minor"/>
    </font>
    <font>
      <b/>
      <sz val="13"/>
      <color rgb="FFFFFFFF"/>
      <name val="Times New Roman"/>
    </font>
    <font>
      <b/>
      <sz val="14"/>
      <color rgb="FFFFFFFF"/>
      <name val="&quot;Times New Roman&quot;"/>
    </font>
    <font>
      <sz val="10"/>
      <name val="Arial"/>
    </font>
    <font>
      <b/>
      <sz val="13"/>
      <color rgb="FFFFFFFF"/>
      <name val="&quot;Times New Roman&quot;"/>
    </font>
    <font>
      <b/>
      <sz val="13"/>
      <color rgb="FF000000"/>
      <name val="&quot;Times New Roman&quot;"/>
    </font>
    <font>
      <sz val="13"/>
      <color rgb="FF000000"/>
      <name val="&quot;Times New Roman&quot;"/>
    </font>
    <font>
      <sz val="13"/>
      <color rgb="FFFFFFFF"/>
      <name val="Times New Roman"/>
    </font>
    <font>
      <b/>
      <sz val="13"/>
      <color theme="1"/>
      <name val="Times New Roman"/>
    </font>
    <font>
      <sz val="11"/>
      <color theme="1"/>
      <name val="Times New Roman"/>
    </font>
    <font>
      <b/>
      <sz val="13"/>
      <color rgb="FFFFFFFF"/>
      <name val="Arial"/>
      <scheme val="minor"/>
    </font>
    <font>
      <sz val="12"/>
      <color theme="1"/>
      <name val="Times New Roman"/>
    </font>
    <font>
      <sz val="13"/>
      <color theme="1"/>
      <name val="Arial"/>
    </font>
    <font>
      <sz val="10"/>
      <color theme="1"/>
      <name val="Arial"/>
      <scheme val="minor"/>
    </font>
    <font>
      <sz val="13"/>
      <color theme="1"/>
      <name val="Arial"/>
      <scheme val="minor"/>
    </font>
    <font>
      <u/>
      <sz val="10"/>
      <color rgb="FF0000FF"/>
      <name val="Arial"/>
    </font>
    <font>
      <sz val="10"/>
      <color theme="1"/>
      <name val="Arial"/>
    </font>
    <font>
      <u/>
      <sz val="13"/>
      <color rgb="FF0000FF"/>
      <name val="Times New Roman"/>
    </font>
    <font>
      <b/>
      <sz val="13"/>
      <color rgb="FF000000"/>
      <name val="Times New Roman"/>
    </font>
    <font>
      <sz val="13"/>
      <color rgb="FF000000"/>
      <name val="Times New Roman"/>
    </font>
    <font>
      <b/>
      <sz val="15"/>
      <color rgb="FF000000"/>
      <name val="Times New Roman"/>
    </font>
    <font>
      <b/>
      <sz val="14"/>
      <color rgb="FF000000"/>
      <name val="Arial"/>
    </font>
    <font>
      <sz val="15"/>
      <color rgb="FF000000"/>
      <name val="Times New Roman"/>
    </font>
    <font>
      <b/>
      <sz val="14"/>
      <color rgb="FFFFFFFF"/>
      <name val="Times New Roman"/>
    </font>
    <font>
      <sz val="14"/>
      <color theme="1"/>
      <name val="Times New Roman"/>
    </font>
    <font>
      <b/>
      <sz val="14"/>
      <color theme="1"/>
      <name val="Times New Roman"/>
    </font>
    <font>
      <sz val="10"/>
      <color rgb="FF000000"/>
      <name val="Arial"/>
    </font>
    <font>
      <b/>
      <sz val="14"/>
      <color rgb="FF000000"/>
      <name val="Times New Roman"/>
    </font>
    <font>
      <sz val="14"/>
      <color rgb="FF000000"/>
      <name val="Times New Roman"/>
    </font>
    <font>
      <u/>
      <sz val="13"/>
      <color rgb="FF0000FF"/>
      <name val="Times New Roman"/>
    </font>
    <font>
      <u/>
      <sz val="14"/>
      <color rgb="FF0000FF"/>
      <name val="Times New Roman"/>
    </font>
    <font>
      <b/>
      <sz val="13"/>
      <color rgb="FFFF0000"/>
      <name val="Times New Roman"/>
    </font>
    <font>
      <strike/>
      <sz val="10"/>
      <color theme="1"/>
      <name val="Arial"/>
      <scheme val="minor"/>
    </font>
    <font>
      <b/>
      <strike/>
      <sz val="13"/>
      <color theme="1"/>
      <name val="Times New Roman"/>
    </font>
    <font>
      <strike/>
      <sz val="13"/>
      <color theme="1"/>
      <name val="Times New Roman"/>
    </font>
    <font>
      <u/>
      <sz val="14"/>
      <color rgb="FF0000FF"/>
      <name val="Times New Roman"/>
    </font>
    <font>
      <b/>
      <sz val="14"/>
      <color rgb="FF000000"/>
      <name val="&quot;Times New Roman&quot;"/>
    </font>
    <font>
      <b/>
      <u/>
      <sz val="13"/>
      <color rgb="FF0000FF"/>
      <name val="Times New Roman"/>
    </font>
    <font>
      <u/>
      <sz val="14"/>
      <color rgb="FF0000FF"/>
      <name val="Times New Roman"/>
    </font>
    <font>
      <u/>
      <sz val="14"/>
      <color rgb="FF0000FF"/>
      <name val="Times New Roman"/>
    </font>
    <font>
      <u/>
      <sz val="13"/>
      <color rgb="FF1155CC"/>
      <name val="Times New Roman"/>
    </font>
    <font>
      <b/>
      <sz val="12"/>
      <color rgb="FFFFFFFF"/>
      <name val="Times New Roman"/>
    </font>
    <font>
      <b/>
      <sz val="12"/>
      <color rgb="FF000000"/>
      <name val="Times New Roman"/>
    </font>
    <font>
      <sz val="12"/>
      <color rgb="FF000000"/>
      <name val="Times New Roman"/>
    </font>
    <font>
      <sz val="14"/>
      <color rgb="FF000000"/>
      <name val="&quot;Times New Roman&quot;"/>
    </font>
    <font>
      <u/>
      <sz val="13"/>
      <color theme="1"/>
      <name val="Times New Roman"/>
    </font>
    <font>
      <sz val="13"/>
      <color rgb="FFFFFFFF"/>
      <name val="&quot;Times New Roman&quot;"/>
    </font>
    <font>
      <sz val="10"/>
      <color rgb="FF666666"/>
      <name val="Arial"/>
      <scheme val="minor"/>
    </font>
    <font>
      <u/>
      <sz val="13"/>
      <color rgb="FF0000FF"/>
      <name val="Times New Roman"/>
    </font>
    <font>
      <b/>
      <sz val="15"/>
      <color theme="1"/>
      <name val="Times New Roman"/>
    </font>
    <font>
      <sz val="15"/>
      <color theme="1"/>
      <name val="Times New Roman"/>
    </font>
    <font>
      <u/>
      <sz val="15"/>
      <color rgb="FF0000FF"/>
      <name val="Times New Roman"/>
    </font>
    <font>
      <sz val="13"/>
      <color rgb="FF000000"/>
      <name val="Times New Roman"/>
      <family val="1"/>
    </font>
    <font>
      <b/>
      <sz val="13"/>
      <color rgb="FFFFFFFF"/>
      <name val="Times New Roman"/>
      <family val="1"/>
    </font>
    <font>
      <sz val="13"/>
      <color rgb="FF0000FF"/>
      <name val="Times New Roman"/>
      <family val="1"/>
    </font>
    <font>
      <i/>
      <sz val="13"/>
      <color rgb="FF000000"/>
      <name val="Times New Roman"/>
      <family val="1"/>
    </font>
    <font>
      <sz val="12"/>
      <color rgb="FF000000"/>
      <name val="&quot;Times New Roman&quot;"/>
    </font>
    <font>
      <b/>
      <sz val="12"/>
      <color rgb="FF000000"/>
      <name val="&quot;Times New Roman&quot;"/>
    </font>
    <font>
      <b/>
      <sz val="12"/>
      <color rgb="FFFFFFFF"/>
      <name val="&quot;Times New Roman&quot;"/>
    </font>
    <font>
      <b/>
      <sz val="13"/>
      <color rgb="FF000000"/>
      <name val="Times New Roman"/>
      <family val="1"/>
    </font>
  </fonts>
  <fills count="12">
    <fill>
      <patternFill patternType="none"/>
    </fill>
    <fill>
      <patternFill patternType="gray125"/>
    </fill>
    <fill>
      <patternFill patternType="solid">
        <fgColor rgb="FF38761D"/>
        <bgColor rgb="FF38761D"/>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93C47D"/>
        <bgColor rgb="FF93C47D"/>
      </patternFill>
    </fill>
    <fill>
      <patternFill patternType="solid">
        <fgColor rgb="FFE2EFDA"/>
        <bgColor rgb="FFE2EFDA"/>
      </patternFill>
    </fill>
    <fill>
      <patternFill patternType="solid">
        <fgColor rgb="FFFFE599"/>
        <bgColor rgb="FFFFE599"/>
      </patternFill>
    </fill>
    <fill>
      <patternFill patternType="solid">
        <fgColor rgb="FFEA9999"/>
        <bgColor rgb="FFEA9999"/>
      </patternFill>
    </fill>
    <fill>
      <patternFill patternType="solid">
        <fgColor rgb="FF38761D"/>
        <bgColor indexed="64"/>
      </patternFill>
    </fill>
    <fill>
      <patternFill patternType="solid">
        <fgColor rgb="FFFFFF0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8">
    <xf numFmtId="0" fontId="0" fillId="0" borderId="0" xfId="0" applyFont="1" applyAlignment="1"/>
    <xf numFmtId="0" fontId="1" fillId="3" borderId="0" xfId="0" applyFont="1" applyFill="1"/>
    <xf numFmtId="0" fontId="3" fillId="3" borderId="0" xfId="0" applyFont="1" applyFill="1" applyAlignment="1">
      <alignment horizontal="center" wrapText="1"/>
    </xf>
    <xf numFmtId="0" fontId="2" fillId="2" borderId="1" xfId="0" applyFont="1" applyFill="1" applyBorder="1"/>
    <xf numFmtId="0" fontId="2" fillId="2" borderId="1" xfId="0" applyFont="1" applyFill="1" applyBorder="1" applyAlignment="1"/>
    <xf numFmtId="0" fontId="6" fillId="2" borderId="4" xfId="0" applyFont="1" applyFill="1" applyBorder="1" applyAlignment="1">
      <alignment horizontal="center"/>
    </xf>
    <xf numFmtId="0" fontId="1" fillId="0" borderId="0" xfId="0" applyFont="1"/>
    <xf numFmtId="0" fontId="1" fillId="0" borderId="1" xfId="0" applyFont="1" applyBorder="1" applyAlignment="1"/>
    <xf numFmtId="0" fontId="7" fillId="4" borderId="1" xfId="0" applyFont="1" applyFill="1" applyBorder="1" applyAlignment="1">
      <alignment horizontal="center"/>
    </xf>
    <xf numFmtId="0" fontId="1" fillId="0" borderId="4" xfId="0" applyFont="1" applyBorder="1" applyAlignment="1"/>
    <xf numFmtId="0" fontId="1" fillId="0" borderId="8" xfId="0" applyFont="1" applyBorder="1" applyAlignment="1"/>
    <xf numFmtId="0" fontId="8" fillId="0" borderId="1" xfId="0" applyFont="1" applyBorder="1" applyAlignment="1">
      <alignment horizontal="left"/>
    </xf>
    <xf numFmtId="0" fontId="1" fillId="0" borderId="1" xfId="0" applyFont="1" applyBorder="1"/>
    <xf numFmtId="0" fontId="1" fillId="0" borderId="11" xfId="0" applyFont="1" applyBorder="1" applyAlignment="1"/>
    <xf numFmtId="0" fontId="8" fillId="0" borderId="1" xfId="0" applyFont="1" applyBorder="1" applyAlignment="1">
      <alignment horizontal="right"/>
    </xf>
    <xf numFmtId="0" fontId="8" fillId="0" borderId="11" xfId="0" applyFont="1" applyBorder="1" applyAlignment="1"/>
    <xf numFmtId="0" fontId="3" fillId="2" borderId="1" xfId="0" applyFont="1" applyFill="1" applyBorder="1" applyAlignment="1">
      <alignment horizontal="left" vertical="center"/>
    </xf>
    <xf numFmtId="9" fontId="8" fillId="0" borderId="1" xfId="0" applyNumberFormat="1" applyFont="1" applyBorder="1" applyAlignment="1">
      <alignment horizontal="right"/>
    </xf>
    <xf numFmtId="0" fontId="9"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xf>
    <xf numFmtId="0" fontId="10" fillId="4" borderId="1" xfId="0" applyFont="1" applyFill="1" applyBorder="1" applyAlignment="1">
      <alignment horizontal="center" wrapText="1"/>
    </xf>
    <xf numFmtId="0" fontId="10" fillId="5" borderId="1" xfId="0" applyFont="1" applyFill="1" applyBorder="1" applyAlignment="1">
      <alignment horizontal="center" vertical="center"/>
    </xf>
    <xf numFmtId="0" fontId="10" fillId="4" borderId="1" xfId="0" applyFont="1" applyFill="1" applyBorder="1" applyAlignment="1"/>
    <xf numFmtId="0" fontId="10" fillId="5" borderId="1" xfId="0" applyFont="1" applyFill="1" applyBorder="1" applyAlignment="1">
      <alignment horizontal="left" vertical="center"/>
    </xf>
    <xf numFmtId="0" fontId="11" fillId="0" borderId="0" xfId="0" applyFont="1" applyAlignment="1"/>
    <xf numFmtId="0" fontId="1" fillId="0" borderId="1" xfId="0" applyFont="1" applyBorder="1" applyAlignment="1">
      <alignment horizontal="left" vertical="center"/>
    </xf>
    <xf numFmtId="0" fontId="1" fillId="0" borderId="1" xfId="0" applyFont="1" applyBorder="1" applyAlignment="1">
      <alignment horizontal="left" wrapText="1"/>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xf>
    <xf numFmtId="164" fontId="1" fillId="0" borderId="1" xfId="0" applyNumberFormat="1" applyFont="1" applyBorder="1" applyAlignment="1">
      <alignment horizontal="right" wrapText="1"/>
    </xf>
    <xf numFmtId="0" fontId="6" fillId="3" borderId="3" xfId="0" applyFont="1" applyFill="1" applyBorder="1" applyAlignment="1">
      <alignment horizontal="center"/>
    </xf>
    <xf numFmtId="0" fontId="6" fillId="3" borderId="0" xfId="0" applyFont="1" applyFill="1" applyAlignment="1">
      <alignment horizontal="center"/>
    </xf>
    <xf numFmtId="0" fontId="10" fillId="0" borderId="1" xfId="0" applyFont="1" applyBorder="1" applyAlignment="1">
      <alignment vertical="center"/>
    </xf>
    <xf numFmtId="0" fontId="7" fillId="4" borderId="1" xfId="0" applyFont="1" applyFill="1" applyBorder="1" applyAlignment="1">
      <alignment horizontal="center"/>
    </xf>
    <xf numFmtId="0" fontId="1" fillId="0" borderId="1" xfId="0" applyFont="1" applyBorder="1" applyAlignment="1">
      <alignment vertical="center"/>
    </xf>
    <xf numFmtId="0" fontId="10" fillId="4" borderId="1" xfId="0" applyFont="1" applyFill="1" applyBorder="1" applyAlignment="1">
      <alignment horizontal="center"/>
    </xf>
    <xf numFmtId="0" fontId="10" fillId="3" borderId="0" xfId="0" applyFont="1" applyFill="1" applyAlignment="1">
      <alignment horizontal="center"/>
    </xf>
    <xf numFmtId="0" fontId="7" fillId="3" borderId="0" xfId="0" applyFont="1" applyFill="1" applyAlignment="1">
      <alignment horizontal="center"/>
    </xf>
    <xf numFmtId="164" fontId="1" fillId="0" borderId="1" xfId="0" applyNumberFormat="1" applyFont="1" applyBorder="1" applyAlignment="1"/>
    <xf numFmtId="164" fontId="13" fillId="0" borderId="1" xfId="0" applyNumberFormat="1" applyFont="1" applyBorder="1" applyAlignment="1">
      <alignment horizontal="center"/>
    </xf>
    <xf numFmtId="3" fontId="1" fillId="0" borderId="0" xfId="0" applyNumberFormat="1" applyFont="1" applyAlignment="1">
      <alignment wrapText="1"/>
    </xf>
    <xf numFmtId="164" fontId="13" fillId="0" borderId="1" xfId="0" applyNumberFormat="1" applyFont="1" applyBorder="1" applyAlignment="1">
      <alignment horizontal="right"/>
    </xf>
    <xf numFmtId="0" fontId="13" fillId="0" borderId="0" xfId="0" applyFont="1" applyAlignment="1"/>
    <xf numFmtId="0" fontId="8" fillId="3" borderId="0" xfId="0" applyFont="1" applyFill="1" applyAlignment="1">
      <alignment horizontal="right"/>
    </xf>
    <xf numFmtId="164" fontId="14" fillId="0" borderId="0" xfId="0" applyNumberFormat="1" applyFont="1" applyAlignment="1">
      <alignment horizontal="center"/>
    </xf>
    <xf numFmtId="164" fontId="13" fillId="0" borderId="1" xfId="0" applyNumberFormat="1" applyFont="1" applyBorder="1" applyAlignment="1">
      <alignment horizontal="center"/>
    </xf>
    <xf numFmtId="3" fontId="15" fillId="0" borderId="0" xfId="0" applyNumberFormat="1" applyFont="1" applyAlignment="1"/>
    <xf numFmtId="164" fontId="16" fillId="0" borderId="1" xfId="0" applyNumberFormat="1" applyFont="1" applyBorder="1" applyAlignment="1"/>
    <xf numFmtId="164" fontId="13" fillId="0" borderId="1" xfId="0" applyNumberFormat="1" applyFont="1" applyBorder="1" applyAlignment="1">
      <alignment horizontal="center"/>
    </xf>
    <xf numFmtId="164" fontId="1" fillId="4" borderId="1" xfId="0" applyNumberFormat="1" applyFont="1" applyFill="1" applyBorder="1" applyAlignment="1">
      <alignment wrapText="1"/>
    </xf>
    <xf numFmtId="164" fontId="8" fillId="0" borderId="1" xfId="0" applyNumberFormat="1" applyFont="1" applyBorder="1" applyAlignment="1">
      <alignment horizontal="right"/>
    </xf>
    <xf numFmtId="0" fontId="17" fillId="0" borderId="0" xfId="0" applyFont="1" applyAlignment="1"/>
    <xf numFmtId="164" fontId="1" fillId="4" borderId="1" xfId="0" applyNumberFormat="1" applyFont="1" applyFill="1" applyBorder="1"/>
    <xf numFmtId="0" fontId="1" fillId="0" borderId="0" xfId="0" applyFont="1" applyAlignment="1">
      <alignment horizontal="center"/>
    </xf>
    <xf numFmtId="164" fontId="18" fillId="0" borderId="0" xfId="0" applyNumberFormat="1" applyFont="1" applyAlignment="1">
      <alignment horizontal="center"/>
    </xf>
    <xf numFmtId="0" fontId="1" fillId="0" borderId="0" xfId="0" applyFont="1" applyAlignment="1"/>
    <xf numFmtId="0" fontId="3" fillId="3" borderId="0" xfId="0" applyFont="1" applyFill="1" applyAlignment="1">
      <alignment horizontal="center"/>
    </xf>
    <xf numFmtId="164" fontId="13" fillId="0" borderId="1" xfId="0" applyNumberFormat="1" applyFont="1" applyBorder="1"/>
    <xf numFmtId="164" fontId="14" fillId="0" borderId="1" xfId="0" applyNumberFormat="1" applyFont="1" applyBorder="1" applyAlignment="1">
      <alignment horizontal="center" vertical="center"/>
    </xf>
    <xf numFmtId="0" fontId="10" fillId="4" borderId="1" xfId="0" applyFont="1" applyFill="1" applyBorder="1" applyAlignment="1">
      <alignment horizontal="center"/>
    </xf>
    <xf numFmtId="0" fontId="10" fillId="4" borderId="1" xfId="0" applyFont="1" applyFill="1" applyBorder="1" applyAlignment="1">
      <alignment wrapText="1"/>
    </xf>
    <xf numFmtId="0" fontId="16" fillId="0" borderId="0" xfId="0" applyFont="1"/>
    <xf numFmtId="0" fontId="1" fillId="0" borderId="1" xfId="0" applyFont="1" applyBorder="1" applyAlignment="1">
      <alignment horizontal="center" wrapText="1"/>
    </xf>
    <xf numFmtId="0" fontId="1" fillId="0" borderId="1" xfId="0" applyFont="1" applyBorder="1" applyAlignment="1">
      <alignment horizontal="right" wrapText="1"/>
    </xf>
    <xf numFmtId="0" fontId="7" fillId="4" borderId="1" xfId="0" applyFont="1" applyFill="1" applyBorder="1" applyAlignment="1">
      <alignment horizontal="left"/>
    </xf>
    <xf numFmtId="0" fontId="7" fillId="4" borderId="1" xfId="0" applyFont="1" applyFill="1" applyBorder="1" applyAlignment="1">
      <alignment horizontal="right"/>
    </xf>
    <xf numFmtId="164" fontId="18" fillId="0" borderId="0" xfId="0" applyNumberFormat="1" applyFont="1" applyAlignment="1">
      <alignment horizontal="center" vertical="center"/>
    </xf>
    <xf numFmtId="164" fontId="7" fillId="4" borderId="1" xfId="0" applyNumberFormat="1" applyFont="1" applyFill="1" applyBorder="1" applyAlignment="1">
      <alignment horizontal="right"/>
    </xf>
    <xf numFmtId="0" fontId="19" fillId="0" borderId="1" xfId="0" applyFont="1" applyBorder="1" applyAlignment="1">
      <alignment horizontal="center" wrapText="1"/>
    </xf>
    <xf numFmtId="0" fontId="20" fillId="3" borderId="0" xfId="0" applyFont="1" applyFill="1" applyAlignment="1">
      <alignment horizontal="center"/>
    </xf>
    <xf numFmtId="0" fontId="1" fillId="3" borderId="0" xfId="0" applyFont="1" applyFill="1" applyAlignment="1"/>
    <xf numFmtId="10" fontId="8" fillId="0" borderId="1" xfId="0" applyNumberFormat="1" applyFont="1" applyBorder="1" applyAlignment="1">
      <alignment horizontal="right"/>
    </xf>
    <xf numFmtId="0" fontId="21" fillId="3" borderId="0" xfId="0" applyFont="1" applyFill="1" applyAlignment="1">
      <alignment horizontal="center"/>
    </xf>
    <xf numFmtId="0" fontId="1" fillId="3" borderId="0" xfId="0" applyFont="1" applyFill="1" applyAlignment="1">
      <alignment wrapText="1"/>
    </xf>
    <xf numFmtId="0" fontId="15" fillId="0" borderId="1" xfId="0" applyFont="1" applyBorder="1"/>
    <xf numFmtId="164" fontId="21" fillId="3" borderId="0" xfId="0" applyNumberFormat="1" applyFont="1" applyFill="1" applyAlignment="1">
      <alignment horizontal="right"/>
    </xf>
    <xf numFmtId="0" fontId="21" fillId="3" borderId="0" xfId="0" applyFont="1" applyFill="1" applyAlignment="1">
      <alignment horizontal="right"/>
    </xf>
    <xf numFmtId="0" fontId="10" fillId="3" borderId="0" xfId="0" applyFont="1" applyFill="1" applyAlignment="1">
      <alignment horizontal="center"/>
    </xf>
    <xf numFmtId="164" fontId="1" fillId="4" borderId="1" xfId="0" applyNumberFormat="1" applyFont="1" applyFill="1" applyBorder="1" applyAlignment="1">
      <alignment horizontal="right" wrapText="1"/>
    </xf>
    <xf numFmtId="0" fontId="1" fillId="4" borderId="1" xfId="0" applyFont="1" applyFill="1" applyBorder="1" applyAlignment="1">
      <alignment wrapText="1"/>
    </xf>
    <xf numFmtId="0" fontId="21" fillId="3" borderId="0" xfId="0" applyFont="1" applyFill="1" applyAlignment="1">
      <alignment horizontal="center" wrapText="1"/>
    </xf>
    <xf numFmtId="0" fontId="23" fillId="3" borderId="0" xfId="0" applyFont="1" applyFill="1" applyAlignment="1">
      <alignment horizontal="center"/>
    </xf>
    <xf numFmtId="0" fontId="20" fillId="3" borderId="0" xfId="0" applyFont="1" applyFill="1" applyAlignment="1">
      <alignment horizontal="right"/>
    </xf>
    <xf numFmtId="0" fontId="20" fillId="3" borderId="0" xfId="0" applyFont="1" applyFill="1"/>
    <xf numFmtId="0" fontId="7" fillId="0" borderId="1" xfId="0" applyFont="1" applyBorder="1" applyAlignment="1">
      <alignment horizontal="right"/>
    </xf>
    <xf numFmtId="0" fontId="26" fillId="0" borderId="0" xfId="0" applyFont="1" applyAlignment="1">
      <alignment wrapText="1"/>
    </xf>
    <xf numFmtId="0" fontId="27" fillId="4" borderId="1" xfId="0" applyFont="1" applyFill="1" applyBorder="1" applyAlignment="1">
      <alignment horizontal="center"/>
    </xf>
    <xf numFmtId="0" fontId="28" fillId="3" borderId="0" xfId="0" applyFont="1" applyFill="1" applyAlignment="1"/>
    <xf numFmtId="0" fontId="27" fillId="4" borderId="1" xfId="0" applyFont="1" applyFill="1" applyBorder="1" applyAlignment="1">
      <alignment horizontal="center"/>
    </xf>
    <xf numFmtId="0" fontId="24" fillId="3" borderId="1" xfId="0" applyFont="1" applyFill="1" applyBorder="1" applyAlignment="1">
      <alignment horizontal="left"/>
    </xf>
    <xf numFmtId="10" fontId="24" fillId="3" borderId="1" xfId="0" applyNumberFormat="1" applyFont="1" applyFill="1" applyBorder="1" applyAlignment="1">
      <alignment horizontal="right"/>
    </xf>
    <xf numFmtId="0" fontId="26" fillId="0" borderId="1" xfId="0" applyFont="1" applyBorder="1" applyAlignment="1">
      <alignment horizontal="center"/>
    </xf>
    <xf numFmtId="0" fontId="26" fillId="0" borderId="1" xfId="0" applyFont="1" applyBorder="1" applyAlignment="1"/>
    <xf numFmtId="0" fontId="15" fillId="0" borderId="0" xfId="0" applyFont="1" applyAlignment="1"/>
    <xf numFmtId="164" fontId="26" fillId="0" borderId="1" xfId="0" applyNumberFormat="1" applyFont="1" applyBorder="1" applyAlignment="1">
      <alignment horizontal="right"/>
    </xf>
    <xf numFmtId="0" fontId="26" fillId="0" borderId="1" xfId="0" applyFont="1" applyBorder="1" applyAlignment="1">
      <alignment horizontal="center"/>
    </xf>
    <xf numFmtId="164" fontId="7" fillId="0" borderId="1" xfId="0" applyNumberFormat="1" applyFont="1" applyBorder="1" applyAlignment="1">
      <alignment horizontal="right"/>
    </xf>
    <xf numFmtId="0" fontId="29" fillId="6" borderId="1" xfId="0" applyFont="1" applyFill="1" applyBorder="1" applyAlignment="1">
      <alignment horizontal="center"/>
    </xf>
    <xf numFmtId="0" fontId="30" fillId="3" borderId="1" xfId="0" applyFont="1" applyFill="1" applyBorder="1" applyAlignment="1">
      <alignment horizontal="left"/>
    </xf>
    <xf numFmtId="0" fontId="31" fillId="0" borderId="1" xfId="0" applyFont="1" applyBorder="1" applyAlignment="1"/>
    <xf numFmtId="0" fontId="32" fillId="0" borderId="1" xfId="0" applyFont="1" applyBorder="1" applyAlignment="1">
      <alignment horizontal="center"/>
    </xf>
    <xf numFmtId="0" fontId="33" fillId="0" borderId="0" xfId="0" applyFont="1" applyAlignment="1">
      <alignment horizontal="center" wrapText="1"/>
    </xf>
    <xf numFmtId="0" fontId="20" fillId="4" borderId="1" xfId="0" applyFont="1" applyFill="1" applyBorder="1" applyAlignment="1">
      <alignment horizontal="center"/>
    </xf>
    <xf numFmtId="3" fontId="30" fillId="3" borderId="1" xfId="0" applyNumberFormat="1" applyFont="1" applyFill="1" applyBorder="1" applyAlignment="1">
      <alignment horizontal="right"/>
    </xf>
    <xf numFmtId="0" fontId="30" fillId="3" borderId="1" xfId="0" applyFont="1" applyFill="1" applyBorder="1" applyAlignment="1">
      <alignment horizontal="left"/>
    </xf>
    <xf numFmtId="0" fontId="34" fillId="0" borderId="0" xfId="0" applyFont="1"/>
    <xf numFmtId="164" fontId="26" fillId="0" borderId="1" xfId="0" applyNumberFormat="1" applyFont="1" applyBorder="1" applyAlignment="1">
      <alignment horizontal="right"/>
    </xf>
    <xf numFmtId="0" fontId="35" fillId="5" borderId="1" xfId="0" applyFont="1" applyFill="1" applyBorder="1" applyAlignment="1">
      <alignment horizontal="left" vertical="center"/>
    </xf>
    <xf numFmtId="0" fontId="36" fillId="0" borderId="1" xfId="0" applyFont="1" applyBorder="1" applyAlignment="1">
      <alignment horizontal="left" vertical="center"/>
    </xf>
    <xf numFmtId="0" fontId="36" fillId="0" borderId="1" xfId="0" applyFont="1" applyBorder="1"/>
    <xf numFmtId="164" fontId="18" fillId="0" borderId="1" xfId="0" applyNumberFormat="1" applyFont="1" applyBorder="1" applyAlignment="1">
      <alignment horizontal="center"/>
    </xf>
    <xf numFmtId="164" fontId="18" fillId="0" borderId="1" xfId="0" applyNumberFormat="1" applyFont="1" applyBorder="1" applyAlignment="1">
      <alignment horizontal="center" vertical="center"/>
    </xf>
    <xf numFmtId="0" fontId="37" fillId="0" borderId="1" xfId="0" applyFont="1" applyBorder="1" applyAlignment="1">
      <alignment horizontal="center"/>
    </xf>
    <xf numFmtId="0" fontId="21" fillId="0" borderId="1" xfId="0" applyFont="1" applyBorder="1" applyAlignment="1">
      <alignment horizontal="center"/>
    </xf>
    <xf numFmtId="0" fontId="21" fillId="0" borderId="1" xfId="0" applyFont="1" applyBorder="1" applyAlignment="1"/>
    <xf numFmtId="164" fontId="21" fillId="0" borderId="1" xfId="0" applyNumberFormat="1" applyFont="1" applyBorder="1" applyAlignment="1">
      <alignment horizontal="right"/>
    </xf>
    <xf numFmtId="0" fontId="1" fillId="0" borderId="1" xfId="0" applyFont="1" applyBorder="1" applyAlignment="1">
      <alignment horizontal="center"/>
    </xf>
    <xf numFmtId="0" fontId="39" fillId="0" borderId="1" xfId="0" applyFont="1" applyBorder="1" applyAlignment="1">
      <alignment horizontal="center"/>
    </xf>
    <xf numFmtId="0" fontId="38" fillId="7" borderId="1" xfId="0" applyFont="1" applyFill="1" applyBorder="1" applyAlignment="1">
      <alignment horizontal="left"/>
    </xf>
    <xf numFmtId="0" fontId="8" fillId="0" borderId="1" xfId="0" applyFont="1" applyBorder="1" applyAlignment="1"/>
    <xf numFmtId="0" fontId="26" fillId="3" borderId="1" xfId="0" applyFont="1" applyFill="1" applyBorder="1" applyAlignment="1">
      <alignment horizontal="center"/>
    </xf>
    <xf numFmtId="0" fontId="26" fillId="0" borderId="1" xfId="0" applyFont="1" applyBorder="1" applyAlignment="1">
      <alignment wrapText="1"/>
    </xf>
    <xf numFmtId="164" fontId="26" fillId="3" borderId="1" xfId="0" applyNumberFormat="1" applyFont="1" applyFill="1" applyBorder="1" applyAlignment="1">
      <alignment horizontal="right"/>
    </xf>
    <xf numFmtId="0" fontId="29" fillId="4" borderId="1" xfId="0" applyFont="1" applyFill="1" applyBorder="1" applyAlignment="1">
      <alignment horizontal="left"/>
    </xf>
    <xf numFmtId="164" fontId="26" fillId="3" borderId="1" xfId="0" applyNumberFormat="1" applyFont="1" applyFill="1" applyBorder="1" applyAlignment="1">
      <alignment horizontal="right"/>
    </xf>
    <xf numFmtId="3" fontId="29" fillId="4" borderId="1" xfId="0" applyNumberFormat="1" applyFont="1" applyFill="1" applyBorder="1" applyAlignment="1">
      <alignment horizontal="right"/>
    </xf>
    <xf numFmtId="10" fontId="30" fillId="3" borderId="1" xfId="0" applyNumberFormat="1" applyFont="1" applyFill="1" applyBorder="1" applyAlignment="1">
      <alignment horizontal="right"/>
    </xf>
    <xf numFmtId="0" fontId="40" fillId="3" borderId="1" xfId="0" applyFont="1" applyFill="1" applyBorder="1" applyAlignment="1">
      <alignment horizontal="center"/>
    </xf>
    <xf numFmtId="0" fontId="26" fillId="3" borderId="0" xfId="0" applyFont="1" applyFill="1" applyAlignment="1">
      <alignment wrapText="1"/>
    </xf>
    <xf numFmtId="164" fontId="30" fillId="3" borderId="1" xfId="0" applyNumberFormat="1" applyFont="1" applyFill="1" applyBorder="1" applyAlignment="1">
      <alignment horizontal="right"/>
    </xf>
    <xf numFmtId="164" fontId="30" fillId="0" borderId="1" xfId="0" applyNumberFormat="1" applyFont="1" applyBorder="1" applyAlignment="1">
      <alignment horizontal="right"/>
    </xf>
    <xf numFmtId="0" fontId="30" fillId="0" borderId="1" xfId="0" applyFont="1" applyBorder="1" applyAlignment="1">
      <alignment horizontal="center"/>
    </xf>
    <xf numFmtId="0" fontId="41" fillId="3" borderId="1" xfId="0" applyFont="1" applyFill="1" applyBorder="1" applyAlignment="1">
      <alignment horizontal="center"/>
    </xf>
    <xf numFmtId="0" fontId="26" fillId="0" borderId="1" xfId="0" applyFont="1" applyBorder="1" applyAlignment="1">
      <alignment horizontal="left" wrapText="1"/>
    </xf>
    <xf numFmtId="0" fontId="30" fillId="3" borderId="1" xfId="0" applyFont="1" applyFill="1" applyBorder="1" applyAlignment="1">
      <alignment horizontal="right"/>
    </xf>
    <xf numFmtId="0" fontId="10" fillId="0" borderId="1" xfId="0" applyFont="1" applyBorder="1" applyAlignment="1">
      <alignment horizontal="center"/>
    </xf>
    <xf numFmtId="0" fontId="26" fillId="0" borderId="1" xfId="0" applyFont="1" applyBorder="1" applyAlignment="1">
      <alignment horizontal="left" wrapText="1"/>
    </xf>
    <xf numFmtId="1" fontId="8" fillId="0" borderId="1" xfId="0" applyNumberFormat="1" applyFont="1" applyBorder="1" applyAlignment="1">
      <alignment horizontal="right"/>
    </xf>
    <xf numFmtId="164" fontId="20" fillId="4" borderId="1" xfId="0" applyNumberFormat="1" applyFont="1" applyFill="1" applyBorder="1" applyAlignment="1">
      <alignment horizontal="right"/>
    </xf>
    <xf numFmtId="0" fontId="20" fillId="4" borderId="1" xfId="0" applyFont="1" applyFill="1" applyBorder="1"/>
    <xf numFmtId="0" fontId="21" fillId="3" borderId="0" xfId="0" applyFont="1" applyFill="1" applyAlignment="1"/>
    <xf numFmtId="164" fontId="27" fillId="4" borderId="6" xfId="0" applyNumberFormat="1" applyFont="1" applyFill="1" applyBorder="1" applyAlignment="1">
      <alignment horizontal="center"/>
    </xf>
    <xf numFmtId="0" fontId="26" fillId="4" borderId="6" xfId="0" applyFont="1" applyFill="1" applyBorder="1" applyAlignment="1">
      <alignment horizontal="center"/>
    </xf>
    <xf numFmtId="165" fontId="21" fillId="3" borderId="0" xfId="0" applyNumberFormat="1" applyFont="1" applyFill="1" applyAlignment="1"/>
    <xf numFmtId="165" fontId="9" fillId="2" borderId="0" xfId="0" applyNumberFormat="1" applyFont="1" applyFill="1" applyAlignment="1"/>
    <xf numFmtId="0" fontId="21" fillId="4" borderId="0" xfId="0" applyFont="1" applyFill="1" applyAlignment="1">
      <alignment horizontal="center"/>
    </xf>
    <xf numFmtId="164" fontId="21" fillId="4" borderId="0" xfId="0" applyNumberFormat="1" applyFont="1" applyFill="1" applyAlignment="1">
      <alignment horizontal="right"/>
    </xf>
    <xf numFmtId="164" fontId="27" fillId="3" borderId="13" xfId="0" applyNumberFormat="1" applyFont="1" applyFill="1" applyBorder="1" applyAlignment="1">
      <alignment horizontal="center"/>
    </xf>
    <xf numFmtId="0" fontId="26" fillId="3" borderId="13" xfId="0" applyFont="1" applyFill="1" applyBorder="1" applyAlignment="1">
      <alignment horizontal="center"/>
    </xf>
    <xf numFmtId="0" fontId="16" fillId="0" borderId="0" xfId="0" applyFont="1" applyAlignment="1">
      <alignment horizontal="center"/>
    </xf>
    <xf numFmtId="0" fontId="10" fillId="0" borderId="1" xfId="0" applyFont="1" applyBorder="1" applyAlignment="1">
      <alignment horizontal="center"/>
    </xf>
    <xf numFmtId="0" fontId="1" fillId="0" borderId="1" xfId="0" applyFont="1" applyBorder="1" applyAlignment="1"/>
    <xf numFmtId="0" fontId="1" fillId="0" borderId="1" xfId="0" applyFont="1" applyBorder="1" applyAlignment="1"/>
    <xf numFmtId="0" fontId="1" fillId="0" borderId="1" xfId="0" applyFont="1" applyBorder="1" applyAlignment="1"/>
    <xf numFmtId="0" fontId="42" fillId="0" borderId="1" xfId="0" applyFont="1" applyBorder="1" applyAlignment="1">
      <alignment horizontal="center"/>
    </xf>
    <xf numFmtId="0" fontId="1" fillId="3" borderId="0" xfId="0" applyFont="1" applyFill="1" applyAlignment="1">
      <alignment horizontal="center"/>
    </xf>
    <xf numFmtId="0" fontId="1" fillId="0" borderId="1" xfId="0" applyFont="1" applyBorder="1" applyAlignment="1">
      <alignment horizontal="center"/>
    </xf>
    <xf numFmtId="3" fontId="1" fillId="0" borderId="1" xfId="0" applyNumberFormat="1" applyFont="1" applyBorder="1" applyAlignment="1">
      <alignment horizontal="right"/>
    </xf>
    <xf numFmtId="166" fontId="8" fillId="0" borderId="1" xfId="0" applyNumberFormat="1" applyFont="1" applyBorder="1" applyAlignment="1">
      <alignment horizontal="right"/>
    </xf>
    <xf numFmtId="3" fontId="1" fillId="0" borderId="1" xfId="0" applyNumberFormat="1" applyFont="1" applyBorder="1" applyAlignment="1">
      <alignment horizontal="right"/>
    </xf>
    <xf numFmtId="0" fontId="1" fillId="0" borderId="1" xfId="0" applyFont="1" applyBorder="1" applyAlignment="1">
      <alignment horizontal="center"/>
    </xf>
    <xf numFmtId="0" fontId="8" fillId="0" borderId="1" xfId="0" applyFont="1" applyBorder="1" applyAlignment="1">
      <alignment horizontal="right"/>
    </xf>
    <xf numFmtId="0" fontId="10" fillId="3" borderId="0" xfId="0" applyFont="1" applyFill="1" applyAlignment="1">
      <alignment horizontal="center"/>
    </xf>
    <xf numFmtId="0" fontId="10" fillId="0" borderId="1" xfId="0" applyFont="1" applyBorder="1" applyAlignment="1">
      <alignment horizontal="center"/>
    </xf>
    <xf numFmtId="0" fontId="21" fillId="0" borderId="0" xfId="0" applyFont="1" applyAlignment="1"/>
    <xf numFmtId="0" fontId="1" fillId="0" borderId="1" xfId="0" applyFont="1" applyBorder="1" applyAlignment="1">
      <alignment horizontal="center"/>
    </xf>
    <xf numFmtId="3" fontId="1" fillId="0" borderId="1" xfId="0" applyNumberFormat="1" applyFont="1" applyBorder="1"/>
    <xf numFmtId="0" fontId="9" fillId="0" borderId="0" xfId="0" applyFont="1" applyAlignment="1"/>
    <xf numFmtId="0" fontId="9" fillId="0" borderId="0" xfId="0" applyFont="1" applyAlignment="1"/>
    <xf numFmtId="0" fontId="44" fillId="4" borderId="1" xfId="0" applyFont="1" applyFill="1" applyBorder="1" applyAlignment="1">
      <alignment horizontal="left"/>
    </xf>
    <xf numFmtId="0" fontId="9" fillId="0" borderId="0" xfId="0" applyFont="1"/>
    <xf numFmtId="0" fontId="44" fillId="4" borderId="1" xfId="0" applyFont="1" applyFill="1" applyBorder="1" applyAlignment="1">
      <alignment horizontal="center"/>
    </xf>
    <xf numFmtId="0" fontId="10" fillId="0" borderId="0" xfId="0" applyFont="1" applyAlignment="1">
      <alignment horizontal="center"/>
    </xf>
    <xf numFmtId="0" fontId="3" fillId="0" borderId="0" xfId="0" applyFont="1" applyAlignment="1">
      <alignment horizontal="center"/>
    </xf>
    <xf numFmtId="0" fontId="44" fillId="4" borderId="1" xfId="0" applyFont="1" applyFill="1" applyBorder="1" applyAlignment="1">
      <alignment horizontal="left"/>
    </xf>
    <xf numFmtId="164" fontId="45" fillId="4" borderId="1" xfId="0" applyNumberFormat="1" applyFont="1" applyFill="1" applyBorder="1" applyAlignment="1">
      <alignment horizontal="right"/>
    </xf>
    <xf numFmtId="0" fontId="6" fillId="2" borderId="1" xfId="0" applyFont="1" applyFill="1" applyBorder="1" applyAlignment="1">
      <alignment horizontal="left"/>
    </xf>
    <xf numFmtId="0" fontId="6" fillId="2" borderId="1" xfId="0" applyFont="1" applyFill="1" applyBorder="1" applyAlignment="1">
      <alignment horizontal="right"/>
    </xf>
    <xf numFmtId="164" fontId="1" fillId="0" borderId="1" xfId="0" applyNumberFormat="1" applyFont="1" applyBorder="1" applyAlignment="1">
      <alignment horizontal="right"/>
    </xf>
    <xf numFmtId="0" fontId="8" fillId="7" borderId="1" xfId="0" applyFont="1" applyFill="1" applyBorder="1" applyAlignment="1">
      <alignment horizontal="right"/>
    </xf>
    <xf numFmtId="0" fontId="15" fillId="0" borderId="8" xfId="0" applyFont="1" applyBorder="1"/>
    <xf numFmtId="3" fontId="10" fillId="4" borderId="1" xfId="0" applyNumberFormat="1" applyFont="1" applyFill="1" applyBorder="1" applyAlignment="1">
      <alignment horizontal="right"/>
    </xf>
    <xf numFmtId="0" fontId="8" fillId="3" borderId="1" xfId="0" applyFont="1" applyFill="1" applyBorder="1" applyAlignment="1">
      <alignment horizontal="left"/>
    </xf>
    <xf numFmtId="9" fontId="30" fillId="3" borderId="1" xfId="0" applyNumberFormat="1" applyFont="1" applyFill="1" applyBorder="1" applyAlignment="1">
      <alignment horizontal="right"/>
    </xf>
    <xf numFmtId="0" fontId="44" fillId="3" borderId="1" xfId="0" applyFont="1" applyFill="1" applyBorder="1" applyAlignment="1">
      <alignment horizontal="left"/>
    </xf>
    <xf numFmtId="164" fontId="45" fillId="3" borderId="1" xfId="0" applyNumberFormat="1" applyFont="1" applyFill="1" applyBorder="1" applyAlignment="1">
      <alignment horizontal="right"/>
    </xf>
    <xf numFmtId="0" fontId="45" fillId="3" borderId="1" xfId="0" applyFont="1" applyFill="1" applyBorder="1" applyAlignment="1">
      <alignment horizontal="right"/>
    </xf>
    <xf numFmtId="0" fontId="7" fillId="7" borderId="1" xfId="0" applyFont="1" applyFill="1" applyBorder="1" applyAlignment="1">
      <alignment horizontal="left"/>
    </xf>
    <xf numFmtId="0" fontId="47" fillId="4" borderId="1" xfId="0" applyFont="1" applyFill="1" applyBorder="1" applyAlignment="1"/>
    <xf numFmtId="0" fontId="26" fillId="0" borderId="0" xfId="0" applyFont="1"/>
    <xf numFmtId="167" fontId="10" fillId="4" borderId="1" xfId="0" applyNumberFormat="1" applyFont="1" applyFill="1" applyBorder="1" applyAlignment="1">
      <alignment horizontal="center"/>
    </xf>
    <xf numFmtId="164" fontId="1" fillId="3" borderId="1" xfId="0" applyNumberFormat="1" applyFont="1" applyFill="1" applyBorder="1" applyAlignment="1">
      <alignment horizontal="right"/>
    </xf>
    <xf numFmtId="164" fontId="1" fillId="0" borderId="1" xfId="0" applyNumberFormat="1" applyFont="1" applyBorder="1" applyAlignment="1">
      <alignment horizontal="right"/>
    </xf>
    <xf numFmtId="0" fontId="29" fillId="3" borderId="0" xfId="0" applyFont="1" applyFill="1" applyAlignment="1">
      <alignment horizontal="center"/>
    </xf>
    <xf numFmtId="0" fontId="49" fillId="0" borderId="0" xfId="0" applyFont="1"/>
    <xf numFmtId="164" fontId="1" fillId="3" borderId="1" xfId="0" applyNumberFormat="1" applyFont="1" applyFill="1" applyBorder="1" applyAlignment="1">
      <alignment horizontal="right"/>
    </xf>
    <xf numFmtId="164" fontId="1" fillId="4" borderId="1" xfId="0" applyNumberFormat="1" applyFont="1" applyFill="1" applyBorder="1" applyAlignment="1">
      <alignment horizontal="right"/>
    </xf>
    <xf numFmtId="0" fontId="1" fillId="4" borderId="1" xfId="0" applyFont="1" applyFill="1" applyBorder="1"/>
    <xf numFmtId="0" fontId="30" fillId="3" borderId="0" xfId="0" applyFont="1" applyFill="1" applyAlignment="1">
      <alignment horizontal="left"/>
    </xf>
    <xf numFmtId="0" fontId="30" fillId="3" borderId="0" xfId="0" applyFont="1" applyFill="1" applyAlignment="1">
      <alignment horizontal="right"/>
    </xf>
    <xf numFmtId="0" fontId="7" fillId="4" borderId="1" xfId="0" applyFont="1" applyFill="1" applyBorder="1" applyAlignment="1">
      <alignment horizontal="center"/>
    </xf>
    <xf numFmtId="0" fontId="8" fillId="4" borderId="1" xfId="0" applyFont="1" applyFill="1" applyBorder="1" applyAlignment="1">
      <alignment horizontal="center"/>
    </xf>
    <xf numFmtId="164" fontId="1" fillId="0" borderId="1" xfId="0" applyNumberFormat="1" applyFont="1" applyBorder="1"/>
    <xf numFmtId="0" fontId="7" fillId="0" borderId="1" xfId="0" applyFont="1" applyBorder="1" applyAlignment="1">
      <alignment horizontal="left"/>
    </xf>
    <xf numFmtId="0" fontId="8" fillId="0" borderId="1" xfId="0" applyFont="1" applyBorder="1" applyAlignment="1">
      <alignment horizontal="center"/>
    </xf>
    <xf numFmtId="164" fontId="44" fillId="4" borderId="1" xfId="0" applyNumberFormat="1" applyFont="1" applyFill="1" applyBorder="1" applyAlignment="1">
      <alignment horizontal="right"/>
    </xf>
    <xf numFmtId="9" fontId="30" fillId="3" borderId="0" xfId="0" applyNumberFormat="1" applyFont="1" applyFill="1" applyAlignment="1">
      <alignment horizontal="right"/>
    </xf>
    <xf numFmtId="0" fontId="45" fillId="4" borderId="1" xfId="0" applyFont="1" applyFill="1" applyBorder="1" applyAlignment="1"/>
    <xf numFmtId="0" fontId="45" fillId="4" borderId="1" xfId="0" applyFont="1" applyFill="1" applyBorder="1" applyAlignment="1">
      <alignment horizontal="right"/>
    </xf>
    <xf numFmtId="0" fontId="30" fillId="3" borderId="0" xfId="0" applyFont="1" applyFill="1" applyAlignment="1">
      <alignment horizontal="center"/>
    </xf>
    <xf numFmtId="0" fontId="45" fillId="3" borderId="1" xfId="0" applyFont="1" applyFill="1" applyBorder="1" applyAlignment="1">
      <alignment horizontal="left"/>
    </xf>
    <xf numFmtId="0" fontId="1" fillId="0" borderId="1" xfId="0" applyFont="1" applyBorder="1" applyAlignment="1">
      <alignment wrapText="1"/>
    </xf>
    <xf numFmtId="0" fontId="1" fillId="0" borderId="1" xfId="0" applyFont="1" applyBorder="1" applyAlignment="1">
      <alignment horizontal="right"/>
    </xf>
    <xf numFmtId="3" fontId="45" fillId="3" borderId="1" xfId="0" applyNumberFormat="1" applyFont="1" applyFill="1" applyBorder="1" applyAlignment="1">
      <alignment horizontal="right"/>
    </xf>
    <xf numFmtId="0" fontId="50" fillId="0" borderId="1" xfId="0" applyFont="1" applyBorder="1" applyAlignment="1">
      <alignment wrapText="1"/>
    </xf>
    <xf numFmtId="10" fontId="30" fillId="3" borderId="0" xfId="0" applyNumberFormat="1" applyFont="1" applyFill="1" applyAlignment="1">
      <alignment horizontal="right"/>
    </xf>
    <xf numFmtId="0" fontId="1" fillId="4" borderId="1" xfId="0" applyFont="1" applyFill="1" applyBorder="1" applyAlignment="1">
      <alignment horizontal="right" wrapText="1"/>
    </xf>
    <xf numFmtId="0" fontId="7" fillId="8" borderId="1" xfId="0" applyFont="1" applyFill="1" applyBorder="1" applyAlignment="1">
      <alignment horizontal="left"/>
    </xf>
    <xf numFmtId="0" fontId="7" fillId="8" borderId="1" xfId="0" applyFont="1" applyFill="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3" fontId="13" fillId="0" borderId="1" xfId="0" applyNumberFormat="1" applyFont="1" applyBorder="1" applyAlignment="1">
      <alignment horizontal="right"/>
    </xf>
    <xf numFmtId="164" fontId="45" fillId="3" borderId="1" xfId="0" applyNumberFormat="1" applyFont="1" applyFill="1" applyBorder="1" applyAlignment="1"/>
    <xf numFmtId="3" fontId="44" fillId="4" borderId="1" xfId="0" applyNumberFormat="1" applyFont="1" applyFill="1" applyBorder="1" applyAlignment="1">
      <alignment horizontal="right"/>
    </xf>
    <xf numFmtId="164" fontId="45" fillId="9" borderId="1" xfId="0" applyNumberFormat="1" applyFont="1" applyFill="1" applyBorder="1" applyAlignment="1">
      <alignment horizontal="right"/>
    </xf>
    <xf numFmtId="0" fontId="44" fillId="3" borderId="1" xfId="0" applyFont="1" applyFill="1" applyBorder="1" applyAlignment="1">
      <alignment horizontal="left" wrapText="1"/>
    </xf>
    <xf numFmtId="0" fontId="13" fillId="0" borderId="1" xfId="0" applyFont="1" applyBorder="1"/>
    <xf numFmtId="0" fontId="15" fillId="3" borderId="0" xfId="0" applyFont="1" applyFill="1"/>
    <xf numFmtId="164" fontId="44" fillId="9" borderId="1" xfId="0" applyNumberFormat="1" applyFont="1" applyFill="1" applyBorder="1" applyAlignment="1">
      <alignment horizontal="right"/>
    </xf>
    <xf numFmtId="0" fontId="51" fillId="0" borderId="0" xfId="0" applyFont="1" applyAlignment="1"/>
    <xf numFmtId="0" fontId="52" fillId="0" borderId="0" xfId="0" applyFont="1"/>
    <xf numFmtId="0" fontId="52" fillId="0" borderId="0" xfId="0" applyFont="1" applyAlignment="1"/>
    <xf numFmtId="0" fontId="53" fillId="0" borderId="0" xfId="0" applyFont="1" applyAlignment="1"/>
    <xf numFmtId="168" fontId="8" fillId="0" borderId="1" xfId="0" applyNumberFormat="1" applyFont="1" applyBorder="1" applyAlignment="1">
      <alignment horizontal="right"/>
    </xf>
    <xf numFmtId="168" fontId="8" fillId="3" borderId="1" xfId="0" applyNumberFormat="1" applyFont="1" applyFill="1" applyBorder="1" applyAlignment="1">
      <alignment horizontal="right"/>
    </xf>
    <xf numFmtId="168" fontId="8" fillId="7" borderId="1" xfId="0" applyNumberFormat="1" applyFont="1" applyFill="1" applyBorder="1" applyAlignment="1">
      <alignment horizontal="right"/>
    </xf>
    <xf numFmtId="168" fontId="46" fillId="0" borderId="1" xfId="0" applyNumberFormat="1" applyFont="1" applyBorder="1" applyAlignment="1">
      <alignment horizontal="right"/>
    </xf>
    <xf numFmtId="168" fontId="7" fillId="7" borderId="1" xfId="0" applyNumberFormat="1" applyFont="1" applyFill="1" applyBorder="1" applyAlignment="1">
      <alignment horizontal="right"/>
    </xf>
    <xf numFmtId="168" fontId="6" fillId="2" borderId="1" xfId="0" applyNumberFormat="1" applyFont="1" applyFill="1" applyBorder="1" applyAlignment="1">
      <alignment horizontal="right"/>
    </xf>
    <xf numFmtId="168" fontId="48" fillId="2" borderId="1" xfId="0" applyNumberFormat="1" applyFont="1" applyFill="1" applyBorder="1" applyAlignment="1">
      <alignment horizontal="right"/>
    </xf>
    <xf numFmtId="0" fontId="54" fillId="0" borderId="0" xfId="0" applyFont="1" applyAlignment="1"/>
    <xf numFmtId="0" fontId="54" fillId="0" borderId="16" xfId="0" applyFont="1" applyBorder="1" applyAlignment="1"/>
    <xf numFmtId="168" fontId="54" fillId="0" borderId="16" xfId="0" applyNumberFormat="1" applyFont="1" applyBorder="1" applyAlignment="1"/>
    <xf numFmtId="0" fontId="55" fillId="10" borderId="16" xfId="0" applyFont="1" applyFill="1" applyBorder="1" applyAlignment="1"/>
    <xf numFmtId="0" fontId="56" fillId="11" borderId="16" xfId="0" applyFont="1" applyFill="1" applyBorder="1" applyAlignment="1"/>
    <xf numFmtId="168" fontId="56" fillId="11" borderId="16" xfId="0" applyNumberFormat="1" applyFont="1" applyFill="1" applyBorder="1" applyAlignment="1"/>
    <xf numFmtId="0" fontId="57" fillId="0" borderId="16" xfId="0" applyFont="1" applyBorder="1" applyAlignment="1"/>
    <xf numFmtId="0" fontId="58" fillId="0" borderId="1" xfId="0" applyFont="1" applyBorder="1" applyAlignment="1">
      <alignment horizontal="center"/>
    </xf>
    <xf numFmtId="0" fontId="58" fillId="3" borderId="1" xfId="0" applyFont="1" applyFill="1" applyBorder="1" applyAlignment="1">
      <alignment horizontal="center"/>
    </xf>
    <xf numFmtId="0" fontId="59" fillId="0" borderId="1" xfId="0" applyFont="1" applyBorder="1" applyAlignment="1">
      <alignment horizontal="center"/>
    </xf>
    <xf numFmtId="0" fontId="58" fillId="7" borderId="1" xfId="0" applyFont="1" applyFill="1" applyBorder="1" applyAlignment="1">
      <alignment horizontal="center"/>
    </xf>
    <xf numFmtId="0" fontId="59" fillId="7" borderId="1" xfId="0" applyFont="1" applyFill="1" applyBorder="1" applyAlignment="1">
      <alignment horizontal="center"/>
    </xf>
    <xf numFmtId="0" fontId="60" fillId="2" borderId="1" xfId="0" applyFont="1" applyFill="1" applyBorder="1" applyAlignment="1">
      <alignment horizontal="center"/>
    </xf>
    <xf numFmtId="0" fontId="1" fillId="0" borderId="6" xfId="0" applyFont="1" applyBorder="1" applyAlignment="1"/>
    <xf numFmtId="0" fontId="5" fillId="0" borderId="9" xfId="0" applyFont="1" applyBorder="1"/>
    <xf numFmtId="0" fontId="1" fillId="0" borderId="8" xfId="0" applyFont="1" applyBorder="1" applyAlignment="1"/>
    <xf numFmtId="0" fontId="5" fillId="0" borderId="11" xfId="0" applyFont="1" applyBorder="1"/>
    <xf numFmtId="0" fontId="4" fillId="2" borderId="2" xfId="0" applyFont="1" applyFill="1" applyBorder="1" applyAlignment="1">
      <alignment horizontal="center" vertical="center"/>
    </xf>
    <xf numFmtId="0" fontId="5" fillId="0" borderId="3" xfId="0" applyFont="1" applyBorder="1"/>
    <xf numFmtId="0" fontId="4" fillId="2" borderId="7" xfId="0" applyFont="1" applyFill="1" applyBorder="1" applyAlignment="1">
      <alignment horizontal="center" vertical="center"/>
    </xf>
    <xf numFmtId="0" fontId="5" fillId="0" borderId="4" xfId="0" applyFont="1" applyBorder="1"/>
    <xf numFmtId="0" fontId="5" fillId="0" borderId="10" xfId="0" applyFont="1" applyBorder="1"/>
    <xf numFmtId="0" fontId="5" fillId="0" borderId="8" xfId="0" applyFont="1" applyBorder="1"/>
    <xf numFmtId="0" fontId="5" fillId="0" borderId="12" xfId="0" applyFont="1" applyBorder="1"/>
    <xf numFmtId="0" fontId="4" fillId="2" borderId="2" xfId="0" applyFont="1" applyFill="1" applyBorder="1" applyAlignment="1">
      <alignment horizontal="center"/>
    </xf>
    <xf numFmtId="0" fontId="10" fillId="5" borderId="6" xfId="0" applyFont="1" applyFill="1" applyBorder="1" applyAlignment="1">
      <alignment horizontal="left" vertical="center"/>
    </xf>
    <xf numFmtId="0" fontId="38" fillId="7" borderId="15" xfId="0" applyFont="1" applyFill="1" applyBorder="1" applyAlignment="1">
      <alignment horizontal="left"/>
    </xf>
    <xf numFmtId="0" fontId="10" fillId="5" borderId="6" xfId="0" applyFont="1" applyFill="1" applyBorder="1" applyAlignment="1">
      <alignment horizontal="center" vertical="center"/>
    </xf>
    <xf numFmtId="0" fontId="5" fillId="0" borderId="15" xfId="0" applyFont="1" applyBorder="1"/>
    <xf numFmtId="0" fontId="8" fillId="0" borderId="15" xfId="0" applyFont="1" applyBorder="1" applyAlignment="1">
      <alignment horizontal="left"/>
    </xf>
    <xf numFmtId="0" fontId="8" fillId="0" borderId="6" xfId="0" applyFont="1" applyBorder="1" applyAlignment="1"/>
    <xf numFmtId="0" fontId="8" fillId="0" borderId="2" xfId="0" applyFont="1" applyBorder="1" applyAlignment="1">
      <alignment horizontal="left"/>
    </xf>
    <xf numFmtId="0" fontId="5" fillId="0" borderId="5" xfId="0" applyFont="1" applyBorder="1"/>
    <xf numFmtId="0" fontId="1" fillId="0" borderId="2" xfId="0" applyFont="1" applyBorder="1" applyAlignment="1"/>
    <xf numFmtId="0" fontId="6" fillId="2" borderId="2" xfId="0" applyFont="1" applyFill="1" applyBorder="1" applyAlignment="1">
      <alignment horizontal="center"/>
    </xf>
    <xf numFmtId="0" fontId="3" fillId="2" borderId="0" xfId="0" applyFont="1" applyFill="1" applyAlignment="1">
      <alignment horizontal="center"/>
    </xf>
    <xf numFmtId="0" fontId="0" fillId="0" borderId="0" xfId="0" applyFont="1" applyAlignment="1"/>
    <xf numFmtId="0" fontId="7" fillId="4" borderId="2" xfId="0" applyFont="1" applyFill="1" applyBorder="1" applyAlignment="1">
      <alignment horizontal="center"/>
    </xf>
    <xf numFmtId="0" fontId="10" fillId="4" borderId="2" xfId="0" applyFont="1" applyFill="1" applyBorder="1" applyAlignment="1">
      <alignment horizontal="center"/>
    </xf>
    <xf numFmtId="0" fontId="3" fillId="2" borderId="2" xfId="0" applyFont="1" applyFill="1" applyBorder="1" applyAlignment="1">
      <alignment horizontal="center"/>
    </xf>
    <xf numFmtId="0" fontId="20" fillId="4" borderId="6" xfId="0" applyFont="1" applyFill="1" applyBorder="1" applyAlignment="1">
      <alignment horizontal="center"/>
    </xf>
    <xf numFmtId="0" fontId="20" fillId="3" borderId="0" xfId="0" applyFont="1" applyFill="1" applyAlignment="1">
      <alignment horizontal="center"/>
    </xf>
    <xf numFmtId="0" fontId="10" fillId="4" borderId="7" xfId="0" applyFont="1" applyFill="1" applyBorder="1" applyAlignment="1">
      <alignment horizontal="center" vertical="center"/>
    </xf>
    <xf numFmtId="164" fontId="10" fillId="4" borderId="6" xfId="0" applyNumberFormat="1" applyFont="1" applyFill="1" applyBorder="1" applyAlignment="1">
      <alignment horizontal="center" vertical="center"/>
    </xf>
    <xf numFmtId="0" fontId="3" fillId="3" borderId="0" xfId="0" applyFont="1" applyFill="1" applyAlignment="1">
      <alignment horizontal="center"/>
    </xf>
    <xf numFmtId="0" fontId="25" fillId="2" borderId="2" xfId="0" applyFont="1" applyFill="1" applyBorder="1" applyAlignment="1">
      <alignment horizontal="center"/>
    </xf>
    <xf numFmtId="0" fontId="20" fillId="4" borderId="2" xfId="0" applyFont="1" applyFill="1" applyBorder="1" applyAlignment="1">
      <alignment horizontal="center" vertical="center"/>
    </xf>
    <xf numFmtId="0" fontId="10" fillId="4" borderId="2" xfId="0" applyFont="1" applyFill="1" applyBorder="1" applyAlignment="1">
      <alignment horizontal="center" wrapText="1"/>
    </xf>
    <xf numFmtId="0" fontId="3" fillId="2" borderId="7" xfId="0" applyFont="1" applyFill="1" applyBorder="1" applyAlignment="1">
      <alignment horizontal="center" wrapText="1"/>
    </xf>
    <xf numFmtId="0" fontId="5" fillId="0" borderId="13" xfId="0" applyFont="1" applyBorder="1"/>
    <xf numFmtId="0" fontId="5" fillId="0" borderId="14" xfId="0" applyFont="1" applyBorder="1"/>
    <xf numFmtId="0" fontId="1" fillId="0" borderId="2" xfId="0" applyFont="1" applyBorder="1" applyAlignment="1">
      <alignment wrapText="1"/>
    </xf>
    <xf numFmtId="0" fontId="27" fillId="4" borderId="7" xfId="0" applyFont="1" applyFill="1" applyBorder="1" applyAlignment="1">
      <alignment horizontal="center"/>
    </xf>
    <xf numFmtId="0" fontId="27" fillId="3" borderId="13" xfId="0" applyFont="1" applyFill="1" applyBorder="1" applyAlignment="1">
      <alignment horizontal="center"/>
    </xf>
    <xf numFmtId="0" fontId="10" fillId="4" borderId="6" xfId="0" applyFont="1" applyFill="1" applyBorder="1" applyAlignment="1">
      <alignment horizontal="center" vertical="center" wrapText="1"/>
    </xf>
    <xf numFmtId="0" fontId="10" fillId="4" borderId="6" xfId="0" applyFont="1" applyFill="1" applyBorder="1" applyAlignment="1"/>
    <xf numFmtId="0" fontId="3" fillId="2" borderId="2" xfId="0" applyFont="1" applyFill="1" applyBorder="1" applyAlignment="1">
      <alignment horizontal="center" wrapText="1"/>
    </xf>
    <xf numFmtId="0" fontId="10" fillId="4" borderId="6" xfId="0" applyFont="1" applyFill="1" applyBorder="1" applyAlignment="1">
      <alignment vertical="center" wrapText="1"/>
    </xf>
    <xf numFmtId="0" fontId="22" fillId="6" borderId="2" xfId="0" applyFont="1" applyFill="1" applyBorder="1" applyAlignment="1">
      <alignment horizontal="center"/>
    </xf>
    <xf numFmtId="0" fontId="24" fillId="3" borderId="2" xfId="0" applyFont="1" applyFill="1" applyBorder="1" applyAlignment="1">
      <alignment horizontal="left"/>
    </xf>
    <xf numFmtId="0" fontId="43" fillId="2" borderId="2" xfId="0" applyFont="1" applyFill="1" applyBorder="1" applyAlignment="1">
      <alignment horizontal="center"/>
    </xf>
    <xf numFmtId="168" fontId="8" fillId="0" borderId="1" xfId="0" applyNumberFormat="1" applyFont="1" applyBorder="1" applyAlignment="1">
      <alignment horizontal="center"/>
    </xf>
    <xf numFmtId="168" fontId="8" fillId="8" borderId="1" xfId="0" applyNumberFormat="1" applyFont="1" applyFill="1" applyBorder="1" applyAlignment="1">
      <alignment horizontal="center"/>
    </xf>
    <xf numFmtId="168" fontId="7" fillId="4" borderId="1" xfId="0" applyNumberFormat="1" applyFont="1" applyFill="1" applyBorder="1" applyAlignment="1">
      <alignment horizontal="center"/>
    </xf>
    <xf numFmtId="168" fontId="8" fillId="3" borderId="1" xfId="0" applyNumberFormat="1" applyFont="1" applyFill="1" applyBorder="1" applyAlignment="1">
      <alignment horizontal="center"/>
    </xf>
    <xf numFmtId="0" fontId="61" fillId="0" borderId="16" xfId="0" applyFont="1" applyBorder="1" applyAlignment="1"/>
    <xf numFmtId="0" fontId="5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38100</xdr:colOff>
      <xdr:row>2</xdr:row>
      <xdr:rowOff>19050</xdr:rowOff>
    </xdr:from>
    <xdr:ext cx="6877050" cy="1419225"/>
    <xdr:pic>
      <xdr:nvPicPr>
        <xdr:cNvPr id="2" name="image1.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webtaphoa.vn/products/sua-tam-lifebuoy-cham-soc-da-chai-250g" TargetMode="External"/><Relationship Id="rId7" Type="http://schemas.openxmlformats.org/officeDocument/2006/relationships/hyperlink" Target="https://baochinhphu.vn/chuyen-gia-du-bao-lam-phat-2026-quanh-35-nhung-can-than-trong-truoc-ap-luc-102260112183844303.htm" TargetMode="External"/><Relationship Id="rId2" Type="http://schemas.openxmlformats.org/officeDocument/2006/relationships/hyperlink" Target="https://mypharma.vn/san-pham/dau-goi-duoc-lieu-nguyen-xuan-nau/" TargetMode="External"/><Relationship Id="rId1" Type="http://schemas.openxmlformats.org/officeDocument/2006/relationships/hyperlink" Target="https://www.guardian.com.vn/dau-go-i-cao-bo-ke-t-thorakao-250ml.html?srsltid=AYCX9vKFECPTjovruuqVkbZalTW2jE_QTw6CriImt1Xq618y9aQZzVwf" TargetMode="External"/><Relationship Id="rId6" Type="http://schemas.openxmlformats.org/officeDocument/2006/relationships/hyperlink" Target="https://shopee.vn/product/411692664/25265162299?gads_t_sig=gqRjZGVrxHCFomtpsTE0MjUxOnRzc19zZGtfa2V5omt20QACpGFsZ2_SAAAAZKNkZWvAomN0xEAAAAAMaBRvcqdZwgRklGTWoHoxFGhRfNAexxPkhN1n8rcCO5qFEud_-aY2hsGdfUnqCpX0P0Z7lpJy6IP6_Ew8qmNpcGhlcnRleHTEbgAAAAzMoKMfcGwkt0QrkMC1FHsCi_GekBusu8vx_UPDIEzfXc9xuiqqKCo3oLlSRuq9GmDSuyJ1Gk3Pf1SIo4JQ8tbN62IZjV0cWb_qVkmmlX35_XGhEdJyZm_RRt5LqR-QyaS3OI4ixKH9DQnO&amp;gad_source=1&amp;gad_campaignid=24032810043&amp;gbraid=0AAAAADPpQE76RCwveuarckz17npltLqnO&amp;gclid=CjwKCAjw9PvWBhAxEiwAddzYyfxuKal7F9FDcNp9nuBvJz3kntQjg9NHiQha3dbbHQyX2-olL-xWSRoCsNoQAvD_BwE" TargetMode="External"/><Relationship Id="rId5" Type="http://schemas.openxmlformats.org/officeDocument/2006/relationships/hyperlink" Target="https://shopee.vn/product/1105538210/47400852059?gads_t_sig=gqRjZGVrxHCFomtpsTE0MjUxOnRzc19zZGtfa2V5omt20QACpGFsZ2_SAAAAZKNkZWvAomN0xEAAAAAMaBRvcqdZwgRklGTWoHoxFGhRfNAexxPkhN1n8rcCO5qFEud_-aY2hsGdfUnqCpX0P0Z7lpJy6IP6_Ew8qmNpcGhlcnRleHTEcAAAAAx56wSZoGifCYwHdJGp7F_3oKr_gJIFpMWgmHRugtCH3XzrB2e51V45inVryMoXUCWlJcIjipoBPOYVSZGTpYXOwVMJY14XS657iM8zQNDSmw7pWzjt7e7QaZgyZAkhPEAn_Ag-xkDleD4PQ_c&amp;gad_source=1&amp;gad_campaignid=24032810043&amp;gbraid=0AAAAADPpQE76RCwveuarckz17npltLqnO&amp;gclid=CjwKCAjw9PvWBhAxEiwAddzYyXKof9TW5afJgdJhteS8uJEme2me71R61x1cS3ctl0clR2ilDOezuRoCucYQAvD_BwE" TargetMode="External"/><Relationship Id="rId4" Type="http://schemas.openxmlformats.org/officeDocument/2006/relationships/hyperlink" Target="https://nhathuoclongchau.com.vn/cham-soc-ca-nhan/sua-tam-goi-lactacyd-baby-milky-250ml.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nsieutoc.vn/bang-bao-gia-in-decal/" TargetMode="External"/><Relationship Id="rId13" Type="http://schemas.openxmlformats.org/officeDocument/2006/relationships/hyperlink" Target="https://shopee.vn/product/868910179/56810417674?gads_t_sig=gqRjZGVrxHCFomtpsTE0MjUxOnRzc19zZGtfa2V5omt20QACpGFsZ2_SAAAAZKNkZWvAomN0xEAAAAAMaBRvcqdZwgRklGTWoHoxFGhRfNAexxPkhN1n8rcCO5qFEud_-aY2hsGdfUnqCpX0P0Z7lpJy6IP6_Ew8qmNpcGhlcnRleHTEbgAAAAw7gENv7Y90SqfRaIgqWv4eUyQrkFpaB58RbOoIEfW5VkmEzwMr0uaEaAnHVOCkmXjQnBnRPLh_sZhjDIwe0yX3FN3eWwQtFT_SlUQYWtf_vDRaksOv-kzQIxoxNpbHrMxRIUndliElKY7V&amp;gad_source=1&amp;gad_campaignid=22496000355&amp;gbraid=0AAAAADPpQE5ub_mpEzGbjOykVMLWUIl3b&amp;gclid=CjwKCAjwi-zWBhAdEiwAqlRf-M9dj8W9GjqMNry_Ig2m9tGwvi5P3TJoVWQBmba6r6wSdY8jjWXvLxoCa4IQAvD_BwE" TargetMode="External"/><Relationship Id="rId3" Type="http://schemas.openxmlformats.org/officeDocument/2006/relationships/hyperlink" Target="https://www.madeinchina.com/mall/show-Customized-Self-Service-Commercial-Coin-Operated-Laundry-Dispenser-Refill-Shampoo-Soap-Liquid-Detergent-Vending-Machine_625656.html" TargetMode="External"/><Relationship Id="rId7" Type="http://schemas.openxmlformats.org/officeDocument/2006/relationships/hyperlink" Target="https://bonny.com.vn/combo-1-can-dau-goi-1-can-sua-tam-bonny-10l" TargetMode="External"/><Relationship Id="rId12" Type="http://schemas.openxmlformats.org/officeDocument/2006/relationships/hyperlink" Target="https://shopee.vn/Ph%E1%BB%85u-nh%E1%BB%B1a-Qu%E1%BA%B7n-l%E1%BB%8Dc-CKT-(L%E1%BB%9Bn-Trung-Nh%E1%BB%8F)-ph%E1%BB%85u-r%C3%B3t-ch%E1%BA%A5t-l%E1%BB%8Fng-d%E1%BA%A7u-%C4%83n-d%E1%BB%A5ng-c%E1%BB%A5-nh%C3%A0-b%E1%BA%BFp-%C4%91a-n%C4%83ng-i.1635883539.40026437591?extraParams=%7B%22display_model_id%22%3A282157150277%2C%22model_selection_logic%22%3A3%7D" TargetMode="External"/><Relationship Id="rId17" Type="http://schemas.openxmlformats.org/officeDocument/2006/relationships/hyperlink" Target="https://sunads.com.vn/tin-tuc/bang-gia-dich-vu-san-xuat-video-tiktok-2025.html" TargetMode="External"/><Relationship Id="rId2" Type="http://schemas.openxmlformats.org/officeDocument/2006/relationships/hyperlink" Target="https://thuvienphapluat.vn/phap-luat-doanh-nghiep/cau-hoi-thuong-gap/le-phi-cong-bo-thong-tin-doanh-nghiep-2025-la-bao-nhieu-7725.html" TargetMode="External"/><Relationship Id="rId16" Type="http://schemas.openxmlformats.org/officeDocument/2006/relationships/hyperlink" Target="https://neyul.com/tin-tuc/chi-phi-chay-quang-cao-tiktok" TargetMode="External"/><Relationship Id="rId1" Type="http://schemas.openxmlformats.org/officeDocument/2006/relationships/hyperlink" Target="https://thuvienphapluat.vn/ma-so-thue/phap-luat-thue/phi-dang-ky-giay-phep-kinh-doanh-2025-la-bao-nhieu-227459-198754.html" TargetMode="External"/><Relationship Id="rId6" Type="http://schemas.openxmlformats.org/officeDocument/2006/relationships/hyperlink" Target="https://shopee.vn/T%C3%BAi-%C4%90%E1%BB%B1ng-N%C6%B0%E1%BB%9Bc-Trong-Su%E1%BB%91t-5L-10L-T%C3%BAi-%C4%90%E1%BB%B1ng-Th%E1%BB%B1c-Ph%E1%BA%A9m-Mi%E1%BB%87ng-3.3cm-T%C3%BAi-%C4%90%E1%BB%B1ng-R%C6%B0%C6%A1u-i.1125634368.24072361628?extraParams=%7B%22display_model_id%22%3A236577753326%2C%22model_selection_logic%22%3A3%7D&amp;image_ids=vn-11134207-7ra0g-m834zzpjigle74" TargetMode="External"/><Relationship Id="rId11" Type="http://schemas.openxmlformats.org/officeDocument/2006/relationships/hyperlink" Target="https://intuoitre.vn/bao-gia-in-menu?srsltid=AYCX9vJpfhzZIR93k1lV49ib3C1IDd8Bz3HsmC4909scJsluEj4RuLWU" TargetMode="External"/><Relationship Id="rId5" Type="http://schemas.openxmlformats.org/officeDocument/2006/relationships/hyperlink" Target="https://bonny.com.vn/combo-1-can-dau-goi-1-can-sua-tam-bonny-10l" TargetMode="External"/><Relationship Id="rId15" Type="http://schemas.openxmlformats.org/officeDocument/2006/relationships/hyperlink" Target="https://docs.google.com/document/d/1_HMlLlBhMNbeBFqu_-qoWuel-cmJBxOUAbDiNjOW2dw/edit?usp=sharing" TargetMode="External"/><Relationship Id="rId10" Type="http://schemas.openxmlformats.org/officeDocument/2006/relationships/hyperlink" Target="https://advsaigon.com/bang-hieu-mica-dan-decal" TargetMode="External"/><Relationship Id="rId4" Type="http://schemas.openxmlformats.org/officeDocument/2006/relationships/hyperlink" Target="https://thietbi.posapp.vn/may-pos-2-man-hinh-pa680/" TargetMode="External"/><Relationship Id="rId9" Type="http://schemas.openxmlformats.org/officeDocument/2006/relationships/hyperlink" Target="https://bonny.com.vn/can-nuoc-rua-chen-bonny-huong-chanh-que" TargetMode="External"/><Relationship Id="rId14" Type="http://schemas.openxmlformats.org/officeDocument/2006/relationships/hyperlink" Target="https://shopee.vn/C%E1%BB%91c-%C4%90ong-Nh%E1%BB%B1a-100ML-300ML-500ML-1000ML-i.377596970.7577856643?extraParams=%7B%22display_model_id%22%3A90793504549%2C%22model_selection_logic%22%3A3%7D&amp;image_ids=53166c28cce5d123f61fcb060c2df42b"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https://datafiles.chinhphu.vn/cpp/files/vbpq/2025/7/67qh.signed.pdf" TargetMode="External"/><Relationship Id="rId1" Type="http://schemas.openxmlformats.org/officeDocument/2006/relationships/hyperlink" Target="https://chinhsachonline.chinhphu.vn/dieu-kien-ap-dung-chinh-sach-mien-thue-thu-nhap-doanh-nghiep-85100.ht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D4:F9"/>
  <sheetViews>
    <sheetView tabSelected="1" workbookViewId="0"/>
  </sheetViews>
  <sheetFormatPr defaultColWidth="12.6640625" defaultRowHeight="15.75" customHeight="1"/>
  <cols>
    <col min="4" max="4" width="45.109375" customWidth="1"/>
    <col min="6" max="6" width="17.21875" customWidth="1"/>
  </cols>
  <sheetData>
    <row r="4" spans="4:6" ht="15.75" customHeight="1">
      <c r="D4" s="3"/>
      <c r="E4" s="4" t="s">
        <v>2</v>
      </c>
      <c r="F4" s="4" t="s">
        <v>4</v>
      </c>
    </row>
    <row r="5" spans="4:6" ht="15.75" customHeight="1">
      <c r="D5" s="254" t="s">
        <v>5</v>
      </c>
      <c r="E5" s="7" t="s">
        <v>7</v>
      </c>
      <c r="F5" s="256" t="s">
        <v>9</v>
      </c>
    </row>
    <row r="6" spans="4:6" ht="15.75" customHeight="1">
      <c r="D6" s="255"/>
      <c r="E6" s="7" t="s">
        <v>12</v>
      </c>
      <c r="F6" s="257"/>
    </row>
    <row r="7" spans="4:6" ht="15.75" customHeight="1">
      <c r="D7" s="254" t="s">
        <v>15</v>
      </c>
      <c r="E7" s="7" t="s">
        <v>17</v>
      </c>
      <c r="F7" s="256" t="s">
        <v>18</v>
      </c>
    </row>
    <row r="8" spans="4:6" ht="15.75" customHeight="1">
      <c r="D8" s="255"/>
      <c r="E8" s="7" t="s">
        <v>21</v>
      </c>
      <c r="F8" s="257"/>
    </row>
    <row r="9" spans="4:6" ht="15.75" customHeight="1">
      <c r="D9" s="7" t="s">
        <v>22</v>
      </c>
      <c r="E9" s="7" t="s">
        <v>23</v>
      </c>
      <c r="F9" s="12"/>
    </row>
  </sheetData>
  <mergeCells count="4">
    <mergeCell ref="D5:D6"/>
    <mergeCell ref="F5:F6"/>
    <mergeCell ref="D7:D8"/>
    <mergeCell ref="F7:F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AC36"/>
  <sheetViews>
    <sheetView workbookViewId="0"/>
  </sheetViews>
  <sheetFormatPr defaultColWidth="12.6640625" defaultRowHeight="15.75" customHeight="1"/>
  <cols>
    <col min="2" max="2" width="7.21875" customWidth="1"/>
    <col min="3" max="3" width="26.109375" customWidth="1"/>
    <col min="4" max="4" width="159.6640625" customWidth="1"/>
    <col min="5" max="5" width="46.77734375" customWidth="1"/>
    <col min="8" max="8" width="16.77734375" customWidth="1"/>
    <col min="9" max="9" width="100.33203125" customWidth="1"/>
    <col min="10" max="10" width="28.33203125" customWidth="1"/>
    <col min="11" max="12" width="25.109375" customWidth="1"/>
  </cols>
  <sheetData>
    <row r="3" spans="2:15" ht="15.75" customHeight="1">
      <c r="B3" s="258" t="s">
        <v>1</v>
      </c>
      <c r="C3" s="259"/>
      <c r="D3" s="5" t="s">
        <v>3</v>
      </c>
    </row>
    <row r="4" spans="2:15" ht="15.75" customHeight="1">
      <c r="B4" s="260" t="s">
        <v>6</v>
      </c>
      <c r="C4" s="261"/>
      <c r="D4" s="9" t="s">
        <v>10</v>
      </c>
    </row>
    <row r="5" spans="2:15" ht="15.75" customHeight="1">
      <c r="B5" s="262"/>
      <c r="C5" s="263"/>
      <c r="D5" s="10" t="s">
        <v>14</v>
      </c>
    </row>
    <row r="6" spans="2:15" ht="15.75" customHeight="1">
      <c r="B6" s="262"/>
      <c r="C6" s="263"/>
      <c r="D6" s="10" t="s">
        <v>16</v>
      </c>
    </row>
    <row r="7" spans="2:15" ht="15.75" customHeight="1">
      <c r="B7" s="262"/>
      <c r="C7" s="263"/>
      <c r="D7" s="10" t="s">
        <v>19</v>
      </c>
    </row>
    <row r="8" spans="2:15" ht="15.75" customHeight="1">
      <c r="B8" s="264"/>
      <c r="C8" s="257"/>
      <c r="D8" s="13" t="s">
        <v>24</v>
      </c>
    </row>
    <row r="9" spans="2:15" ht="15.75" customHeight="1">
      <c r="B9" s="265" t="s">
        <v>26</v>
      </c>
      <c r="C9" s="259"/>
      <c r="D9" s="15"/>
    </row>
    <row r="14" spans="2:15" ht="15.75" customHeight="1">
      <c r="B14" s="16" t="s">
        <v>29</v>
      </c>
      <c r="C14" s="18"/>
      <c r="D14" s="19" t="s">
        <v>31</v>
      </c>
      <c r="E14" s="20" t="s">
        <v>13</v>
      </c>
    </row>
    <row r="15" spans="2:15" ht="15.75" customHeight="1">
      <c r="B15" s="22">
        <v>1</v>
      </c>
      <c r="C15" s="24" t="s">
        <v>39</v>
      </c>
      <c r="D15" s="26" t="s">
        <v>44</v>
      </c>
      <c r="E15" s="12"/>
      <c r="H15" s="28"/>
      <c r="I15" s="29" t="s">
        <v>47</v>
      </c>
      <c r="J15" s="29" t="s">
        <v>48</v>
      </c>
      <c r="K15" s="29" t="s">
        <v>49</v>
      </c>
      <c r="L15" s="29" t="s">
        <v>50</v>
      </c>
    </row>
    <row r="16" spans="2:15" ht="15.75" customHeight="1">
      <c r="B16" s="22">
        <v>2</v>
      </c>
      <c r="C16" s="266" t="s">
        <v>53</v>
      </c>
      <c r="D16" s="26" t="s">
        <v>54</v>
      </c>
      <c r="E16" s="12"/>
      <c r="H16" s="33" t="s">
        <v>55</v>
      </c>
      <c r="I16" s="35" t="s">
        <v>57</v>
      </c>
      <c r="J16" s="45">
        <f>48000*(1-20%)</f>
        <v>38400</v>
      </c>
      <c r="K16" s="48">
        <f t="shared" ref="K16:K18" si="0">(J16/250)*100</f>
        <v>15360</v>
      </c>
      <c r="L16" s="48">
        <f t="shared" ref="L16:L18" si="1">(J16/250)*500</f>
        <v>76800</v>
      </c>
      <c r="M16" s="52" t="s">
        <v>73</v>
      </c>
      <c r="N16" s="52" t="s">
        <v>73</v>
      </c>
      <c r="O16" s="55"/>
    </row>
    <row r="17" spans="1:29" ht="15.75" customHeight="1">
      <c r="B17" s="22">
        <v>3</v>
      </c>
      <c r="C17" s="255"/>
      <c r="D17" s="26" t="s">
        <v>82</v>
      </c>
      <c r="E17" s="12"/>
      <c r="H17" s="33" t="s">
        <v>83</v>
      </c>
      <c r="I17" s="56" t="s">
        <v>84</v>
      </c>
      <c r="J17" s="59">
        <f>58000*(1-20%)</f>
        <v>46400</v>
      </c>
      <c r="K17" s="48">
        <f t="shared" si="0"/>
        <v>18560</v>
      </c>
      <c r="L17" s="48">
        <f t="shared" si="1"/>
        <v>92800</v>
      </c>
      <c r="M17" s="52" t="s">
        <v>73</v>
      </c>
      <c r="N17" s="52" t="s">
        <v>73</v>
      </c>
      <c r="O17" s="67"/>
    </row>
    <row r="18" spans="1:29" ht="15.75" customHeight="1">
      <c r="B18" s="22">
        <v>4</v>
      </c>
      <c r="C18" s="24" t="s">
        <v>94</v>
      </c>
      <c r="D18" s="26" t="s">
        <v>95</v>
      </c>
      <c r="E18" s="12"/>
      <c r="H18" s="33" t="s">
        <v>89</v>
      </c>
      <c r="I18" s="35" t="s">
        <v>97</v>
      </c>
      <c r="J18" s="59">
        <f>(18000/200)*250*80%</f>
        <v>18000</v>
      </c>
      <c r="K18" s="48">
        <f t="shared" si="0"/>
        <v>7200</v>
      </c>
      <c r="L18" s="48">
        <f t="shared" si="1"/>
        <v>36000</v>
      </c>
      <c r="M18" s="52" t="s">
        <v>73</v>
      </c>
      <c r="N18" s="52" t="s">
        <v>73</v>
      </c>
      <c r="O18" s="67"/>
    </row>
    <row r="19" spans="1:29" ht="15.75" customHeight="1">
      <c r="B19" s="22">
        <v>5</v>
      </c>
      <c r="C19" s="24" t="s">
        <v>127</v>
      </c>
      <c r="D19" s="26" t="s">
        <v>128</v>
      </c>
      <c r="E19" s="12"/>
      <c r="L19" s="94"/>
    </row>
    <row r="20" spans="1:29" ht="15.75" customHeight="1">
      <c r="B20" s="22">
        <v>6</v>
      </c>
      <c r="C20" s="24" t="s">
        <v>133</v>
      </c>
      <c r="D20" s="26" t="s">
        <v>134</v>
      </c>
      <c r="E20" s="12"/>
    </row>
    <row r="21" spans="1:29" ht="15.75" customHeight="1">
      <c r="B21" s="22">
        <v>7</v>
      </c>
      <c r="C21" s="24" t="s">
        <v>136</v>
      </c>
      <c r="D21" s="26" t="s">
        <v>137</v>
      </c>
      <c r="E21" s="12"/>
    </row>
    <row r="22" spans="1:29" ht="15.75" customHeight="1">
      <c r="B22" s="22">
        <v>8</v>
      </c>
      <c r="C22" s="24" t="s">
        <v>138</v>
      </c>
      <c r="D22" s="26" t="s">
        <v>139</v>
      </c>
      <c r="E22" s="100" t="s">
        <v>73</v>
      </c>
    </row>
    <row r="23" spans="1:29" ht="15.75" customHeight="1">
      <c r="B23" s="22">
        <v>9</v>
      </c>
      <c r="C23" s="24" t="s">
        <v>148</v>
      </c>
      <c r="D23" s="26" t="s">
        <v>149</v>
      </c>
      <c r="E23" s="12"/>
    </row>
    <row r="24" spans="1:29" ht="15.75" customHeight="1">
      <c r="A24" s="106"/>
      <c r="B24" s="22">
        <v>10</v>
      </c>
      <c r="C24" s="108" t="s">
        <v>153</v>
      </c>
      <c r="D24" s="109" t="s">
        <v>154</v>
      </c>
      <c r="E24" s="110"/>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spans="1:29" ht="16.8">
      <c r="B25" s="22">
        <v>11</v>
      </c>
      <c r="C25" s="24" t="s">
        <v>32</v>
      </c>
      <c r="D25" s="26" t="s">
        <v>158</v>
      </c>
      <c r="E25" s="111"/>
      <c r="F25" s="94"/>
      <c r="G25" s="94"/>
    </row>
    <row r="26" spans="1:29" ht="16.8">
      <c r="B26" s="22">
        <v>12</v>
      </c>
      <c r="C26" s="24" t="s">
        <v>159</v>
      </c>
      <c r="D26" s="26" t="s">
        <v>160</v>
      </c>
      <c r="E26" s="112"/>
      <c r="F26" s="94"/>
      <c r="G26" s="94"/>
    </row>
    <row r="27" spans="1:29" ht="16.8">
      <c r="B27" s="22">
        <v>13</v>
      </c>
      <c r="C27" s="24" t="s">
        <v>161</v>
      </c>
      <c r="D27" s="26" t="s">
        <v>162</v>
      </c>
      <c r="E27" s="112"/>
      <c r="F27" s="94"/>
      <c r="G27" s="94"/>
    </row>
    <row r="28" spans="1:29" ht="15.75" customHeight="1">
      <c r="B28" s="22">
        <v>14</v>
      </c>
      <c r="C28" s="24" t="s">
        <v>164</v>
      </c>
      <c r="D28" s="26" t="s">
        <v>165</v>
      </c>
      <c r="E28" s="12"/>
    </row>
    <row r="29" spans="1:29" ht="15.75" customHeight="1">
      <c r="B29" s="22">
        <v>15</v>
      </c>
      <c r="C29" s="24" t="s">
        <v>167</v>
      </c>
      <c r="D29" s="26" t="s">
        <v>168</v>
      </c>
      <c r="E29" s="12"/>
    </row>
    <row r="30" spans="1:29" ht="15.75" customHeight="1">
      <c r="B30" s="22">
        <v>16</v>
      </c>
      <c r="C30" s="24" t="s">
        <v>170</v>
      </c>
      <c r="D30" s="26" t="s">
        <v>171</v>
      </c>
      <c r="E30" s="7" t="s">
        <v>172</v>
      </c>
    </row>
    <row r="31" spans="1:29" ht="13.2">
      <c r="B31" s="268">
        <v>17</v>
      </c>
      <c r="C31" s="267" t="s">
        <v>173</v>
      </c>
      <c r="D31" s="271" t="s">
        <v>174</v>
      </c>
      <c r="E31" s="271" t="s">
        <v>175</v>
      </c>
    </row>
    <row r="32" spans="1:29" ht="13.2">
      <c r="B32" s="255"/>
      <c r="C32" s="255"/>
      <c r="D32" s="255"/>
      <c r="E32" s="255"/>
    </row>
    <row r="33" spans="2:5" ht="15.75" customHeight="1">
      <c r="B33" s="22">
        <v>18</v>
      </c>
      <c r="C33" s="119" t="s">
        <v>153</v>
      </c>
      <c r="D33" s="120" t="s">
        <v>178</v>
      </c>
      <c r="E33" s="120" t="s">
        <v>179</v>
      </c>
    </row>
    <row r="34" spans="2:5" ht="13.2">
      <c r="B34" s="268">
        <v>19</v>
      </c>
      <c r="C34" s="267" t="s">
        <v>181</v>
      </c>
      <c r="D34" s="270" t="s">
        <v>184</v>
      </c>
      <c r="E34" s="270" t="s">
        <v>185</v>
      </c>
    </row>
    <row r="35" spans="2:5" ht="13.2">
      <c r="B35" s="269"/>
      <c r="C35" s="269"/>
      <c r="D35" s="269"/>
      <c r="E35" s="269"/>
    </row>
    <row r="36" spans="2:5" ht="13.2">
      <c r="B36" s="255"/>
      <c r="C36" s="255"/>
      <c r="D36" s="255"/>
      <c r="E36" s="255"/>
    </row>
  </sheetData>
  <mergeCells count="12">
    <mergeCell ref="B34:B36"/>
    <mergeCell ref="C34:C36"/>
    <mergeCell ref="D34:D36"/>
    <mergeCell ref="E34:E36"/>
    <mergeCell ref="D31:D32"/>
    <mergeCell ref="E31:E32"/>
    <mergeCell ref="B3:C3"/>
    <mergeCell ref="B4:C8"/>
    <mergeCell ref="B9:C9"/>
    <mergeCell ref="C16:C17"/>
    <mergeCell ref="C31:C32"/>
    <mergeCell ref="B31:B32"/>
  </mergeCells>
  <hyperlinks>
    <hyperlink ref="M16" r:id="rId1" xr:uid="{00000000-0004-0000-0100-000000000000}"/>
    <hyperlink ref="N16" r:id="rId2" xr:uid="{00000000-0004-0000-0100-000001000000}"/>
    <hyperlink ref="M17" r:id="rId3" xr:uid="{00000000-0004-0000-0100-000002000000}"/>
    <hyperlink ref="N17" r:id="rId4" xr:uid="{00000000-0004-0000-0100-000003000000}"/>
    <hyperlink ref="M18" r:id="rId5" xr:uid="{00000000-0004-0000-0100-000004000000}"/>
    <hyperlink ref="N18" r:id="rId6" xr:uid="{00000000-0004-0000-0100-000005000000}"/>
    <hyperlink ref="E22"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O68"/>
  <sheetViews>
    <sheetView workbookViewId="0"/>
  </sheetViews>
  <sheetFormatPr defaultColWidth="12.6640625" defaultRowHeight="15.75" customHeight="1"/>
  <cols>
    <col min="2" max="2" width="44.33203125" customWidth="1"/>
    <col min="3" max="3" width="31" customWidth="1"/>
    <col min="4" max="4" width="21.109375" customWidth="1"/>
    <col min="5" max="5" width="26.77734375" customWidth="1"/>
    <col min="6" max="6" width="20.21875" customWidth="1"/>
    <col min="7" max="7" width="17.77734375" customWidth="1"/>
    <col min="8" max="8" width="18.44140625" customWidth="1"/>
    <col min="15" max="15" width="13.6640625" customWidth="1"/>
  </cols>
  <sheetData>
    <row r="2" spans="2:8" ht="15.75" customHeight="1">
      <c r="B2" s="275" t="s">
        <v>0</v>
      </c>
      <c r="C2" s="273"/>
      <c r="D2" s="273"/>
      <c r="E2" s="273"/>
      <c r="F2" s="273"/>
      <c r="G2" s="259"/>
    </row>
    <row r="3" spans="2:8" ht="15.75" customHeight="1">
      <c r="B3" s="8" t="s">
        <v>8</v>
      </c>
      <c r="C3" s="8" t="s">
        <v>11</v>
      </c>
      <c r="D3" s="278" t="s">
        <v>13</v>
      </c>
      <c r="E3" s="273"/>
      <c r="F3" s="273"/>
      <c r="G3" s="259"/>
    </row>
    <row r="4" spans="2:8" ht="15.75" customHeight="1">
      <c r="B4" s="11" t="s">
        <v>20</v>
      </c>
      <c r="C4" s="14">
        <v>600</v>
      </c>
      <c r="D4" s="272" t="s">
        <v>25</v>
      </c>
      <c r="E4" s="273"/>
      <c r="F4" s="273"/>
      <c r="G4" s="259"/>
    </row>
    <row r="5" spans="2:8" ht="15.75" customHeight="1">
      <c r="B5" s="11" t="s">
        <v>28</v>
      </c>
      <c r="C5" s="14">
        <v>650</v>
      </c>
      <c r="D5" s="272"/>
      <c r="E5" s="273"/>
      <c r="F5" s="273"/>
      <c r="G5" s="259"/>
    </row>
    <row r="6" spans="2:8" ht="15.75" customHeight="1">
      <c r="B6" s="11" t="s">
        <v>30</v>
      </c>
      <c r="C6" s="17">
        <v>0.1</v>
      </c>
      <c r="D6" s="272"/>
      <c r="E6" s="273"/>
      <c r="F6" s="273"/>
      <c r="G6" s="259"/>
    </row>
    <row r="7" spans="2:8" ht="15.75" customHeight="1">
      <c r="B7" s="11" t="s">
        <v>32</v>
      </c>
      <c r="C7" s="17">
        <v>0.03</v>
      </c>
      <c r="D7" s="272" t="s">
        <v>34</v>
      </c>
      <c r="E7" s="273"/>
      <c r="F7" s="273"/>
      <c r="G7" s="259"/>
    </row>
    <row r="8" spans="2:8" ht="15.75" customHeight="1">
      <c r="B8" s="11" t="s">
        <v>36</v>
      </c>
      <c r="C8" s="17">
        <v>0.13</v>
      </c>
      <c r="D8" s="272" t="s">
        <v>37</v>
      </c>
      <c r="E8" s="273"/>
      <c r="F8" s="273"/>
      <c r="G8" s="259"/>
    </row>
    <row r="9" spans="2:8" ht="15.75" customHeight="1">
      <c r="B9" s="11" t="s">
        <v>41</v>
      </c>
      <c r="C9" s="14">
        <v>300</v>
      </c>
      <c r="D9" s="272" t="s">
        <v>42</v>
      </c>
      <c r="E9" s="273"/>
      <c r="F9" s="273"/>
      <c r="G9" s="259"/>
    </row>
    <row r="10" spans="2:8" ht="15.75" customHeight="1">
      <c r="B10" s="11" t="s">
        <v>51</v>
      </c>
      <c r="C10" s="14">
        <v>325</v>
      </c>
      <c r="D10" s="272" t="s">
        <v>42</v>
      </c>
      <c r="E10" s="273"/>
      <c r="F10" s="273"/>
      <c r="G10" s="259"/>
    </row>
    <row r="13" spans="2:8" ht="15.75" customHeight="1">
      <c r="B13" s="275" t="s">
        <v>52</v>
      </c>
      <c r="C13" s="273"/>
      <c r="D13" s="273"/>
      <c r="E13" s="259"/>
      <c r="F13" s="31"/>
      <c r="G13" s="32"/>
      <c r="H13" s="32"/>
    </row>
    <row r="14" spans="2:8" ht="15.75" customHeight="1">
      <c r="B14" s="34" t="s">
        <v>56</v>
      </c>
      <c r="C14" s="36" t="s">
        <v>58</v>
      </c>
      <c r="D14" s="36" t="s">
        <v>59</v>
      </c>
      <c r="E14" s="36" t="s">
        <v>60</v>
      </c>
      <c r="F14" s="37"/>
      <c r="G14" s="38"/>
      <c r="H14" s="38"/>
    </row>
    <row r="15" spans="2:8" ht="15.75" customHeight="1">
      <c r="B15" s="11" t="s">
        <v>61</v>
      </c>
      <c r="C15" s="40">
        <v>15000</v>
      </c>
      <c r="D15" s="40">
        <v>38000</v>
      </c>
      <c r="E15" s="42">
        <v>77000</v>
      </c>
      <c r="F15" s="43"/>
      <c r="G15" s="44"/>
      <c r="H15" s="44"/>
    </row>
    <row r="16" spans="2:8" ht="15.75" customHeight="1">
      <c r="B16" s="11" t="s">
        <v>64</v>
      </c>
      <c r="C16" s="46">
        <v>19000</v>
      </c>
      <c r="D16" s="46">
        <v>46000</v>
      </c>
      <c r="E16" s="42">
        <v>93000</v>
      </c>
      <c r="F16" s="43"/>
      <c r="G16" s="44"/>
      <c r="H16" s="44"/>
    </row>
    <row r="17" spans="2:8" ht="15.75" customHeight="1">
      <c r="B17" s="11" t="s">
        <v>65</v>
      </c>
      <c r="C17" s="46">
        <v>7000</v>
      </c>
      <c r="D17" s="49">
        <f>(18000/200)*250*80%</f>
        <v>18000</v>
      </c>
      <c r="E17" s="42">
        <v>36000</v>
      </c>
      <c r="F17" s="43"/>
      <c r="G17" s="44"/>
      <c r="H17" s="44"/>
    </row>
    <row r="20" spans="2:8" ht="15.75" customHeight="1">
      <c r="B20" s="275" t="s">
        <v>72</v>
      </c>
      <c r="C20" s="273"/>
      <c r="D20" s="273"/>
      <c r="E20" s="273"/>
      <c r="F20" s="273"/>
      <c r="G20" s="259"/>
    </row>
    <row r="21" spans="2:8" ht="15.75" customHeight="1">
      <c r="B21" s="34" t="s">
        <v>74</v>
      </c>
      <c r="C21" s="34" t="s">
        <v>76</v>
      </c>
      <c r="D21" s="34" t="s">
        <v>77</v>
      </c>
      <c r="E21" s="34" t="s">
        <v>78</v>
      </c>
      <c r="F21" s="34" t="s">
        <v>79</v>
      </c>
      <c r="G21" s="34" t="s">
        <v>80</v>
      </c>
    </row>
    <row r="22" spans="2:8" ht="15.75" customHeight="1">
      <c r="B22" s="11" t="s">
        <v>55</v>
      </c>
      <c r="C22" s="14">
        <v>250</v>
      </c>
      <c r="D22" s="14" t="s">
        <v>81</v>
      </c>
      <c r="E22" s="51">
        <f t="shared" ref="E22:E24" si="0">D15</f>
        <v>38000</v>
      </c>
      <c r="F22" s="51">
        <v>9625</v>
      </c>
      <c r="G22" s="58">
        <f>'Giả định chi phí'!L24</f>
        <v>38500</v>
      </c>
    </row>
    <row r="23" spans="2:8" ht="15.75" customHeight="1">
      <c r="B23" s="11" t="s">
        <v>83</v>
      </c>
      <c r="C23" s="14">
        <v>250</v>
      </c>
      <c r="D23" s="14" t="s">
        <v>81</v>
      </c>
      <c r="E23" s="51">
        <f t="shared" si="0"/>
        <v>46000</v>
      </c>
      <c r="F23" s="51">
        <v>9625</v>
      </c>
      <c r="G23" s="58">
        <f>'Giả định chi phí'!L25</f>
        <v>38500</v>
      </c>
    </row>
    <row r="24" spans="2:8" ht="15.75" customHeight="1">
      <c r="B24" s="11" t="s">
        <v>89</v>
      </c>
      <c r="C24" s="14">
        <v>250</v>
      </c>
      <c r="D24" s="14" t="s">
        <v>81</v>
      </c>
      <c r="E24" s="51">
        <f t="shared" si="0"/>
        <v>18000</v>
      </c>
      <c r="F24" s="51">
        <v>7125</v>
      </c>
      <c r="G24" s="58">
        <f>'Giả định chi phí'!L26</f>
        <v>25800</v>
      </c>
    </row>
    <row r="25" spans="2:8" ht="15.75" customHeight="1">
      <c r="B25" s="65" t="s">
        <v>91</v>
      </c>
      <c r="C25" s="66">
        <v>750</v>
      </c>
      <c r="D25" s="66" t="s">
        <v>93</v>
      </c>
      <c r="E25" s="68">
        <f t="shared" ref="E25:F25" si="1">SUM(E22:E24)</f>
        <v>102000</v>
      </c>
      <c r="F25" s="68">
        <f t="shared" si="1"/>
        <v>26375</v>
      </c>
      <c r="G25" s="66"/>
    </row>
    <row r="26" spans="2:8" ht="15.75" customHeight="1">
      <c r="B26" s="272" t="s">
        <v>96</v>
      </c>
      <c r="C26" s="273"/>
      <c r="D26" s="273"/>
      <c r="E26" s="259"/>
      <c r="F26" s="72">
        <f>(F25/E25)</f>
        <v>0.25857843137254904</v>
      </c>
      <c r="G26" s="75"/>
    </row>
    <row r="29" spans="2:8" ht="15.75" customHeight="1">
      <c r="B29" s="276" t="s">
        <v>99</v>
      </c>
      <c r="C29" s="277"/>
      <c r="D29" s="277"/>
      <c r="E29" s="277"/>
    </row>
    <row r="30" spans="2:8" ht="15.75" customHeight="1">
      <c r="B30" s="7" t="s">
        <v>100</v>
      </c>
      <c r="C30" s="39">
        <v>2000000</v>
      </c>
      <c r="D30" s="274" t="s">
        <v>101</v>
      </c>
      <c r="E30" s="259"/>
    </row>
    <row r="33" spans="2:15" ht="15.75" customHeight="1">
      <c r="B33" s="275" t="s">
        <v>102</v>
      </c>
      <c r="C33" s="273"/>
      <c r="D33" s="273"/>
      <c r="E33" s="273"/>
      <c r="F33" s="273"/>
      <c r="G33" s="273"/>
      <c r="H33" s="273"/>
      <c r="I33" s="273"/>
      <c r="J33" s="273"/>
      <c r="K33" s="273"/>
      <c r="L33" s="273"/>
      <c r="M33" s="273"/>
      <c r="N33" s="273"/>
      <c r="O33" s="259"/>
    </row>
    <row r="34" spans="2:15" ht="15.75" customHeight="1">
      <c r="B34" s="8" t="s">
        <v>8</v>
      </c>
      <c r="C34" s="8" t="s">
        <v>104</v>
      </c>
      <c r="D34" s="8" t="s">
        <v>105</v>
      </c>
      <c r="E34" s="8" t="s">
        <v>106</v>
      </c>
      <c r="F34" s="8" t="s">
        <v>107</v>
      </c>
      <c r="G34" s="8" t="s">
        <v>108</v>
      </c>
      <c r="H34" s="8" t="s">
        <v>109</v>
      </c>
      <c r="I34" s="8" t="s">
        <v>110</v>
      </c>
      <c r="J34" s="8" t="s">
        <v>111</v>
      </c>
      <c r="K34" s="8" t="s">
        <v>112</v>
      </c>
      <c r="L34" s="8" t="s">
        <v>113</v>
      </c>
      <c r="M34" s="8" t="s">
        <v>114</v>
      </c>
      <c r="N34" s="8" t="s">
        <v>115</v>
      </c>
      <c r="O34" s="8" t="s">
        <v>116</v>
      </c>
    </row>
    <row r="35" spans="2:15" ht="15.75" customHeight="1">
      <c r="B35" s="11" t="s">
        <v>117</v>
      </c>
      <c r="C35" s="14">
        <v>600</v>
      </c>
      <c r="D35" s="14">
        <v>650</v>
      </c>
      <c r="E35" s="14">
        <v>650</v>
      </c>
      <c r="F35" s="14">
        <v>650</v>
      </c>
      <c r="G35" s="14">
        <v>650</v>
      </c>
      <c r="H35" s="14">
        <v>650</v>
      </c>
      <c r="I35" s="14">
        <v>650</v>
      </c>
      <c r="J35" s="14">
        <v>650</v>
      </c>
      <c r="K35" s="14">
        <v>650</v>
      </c>
      <c r="L35" s="14">
        <v>650</v>
      </c>
      <c r="M35" s="14">
        <v>650</v>
      </c>
      <c r="N35" s="14">
        <v>650</v>
      </c>
      <c r="O35" s="85">
        <f t="shared" ref="O35:O38" si="2">SUM(C35:N35)</f>
        <v>7750</v>
      </c>
    </row>
    <row r="36" spans="2:15" ht="15.75" customHeight="1">
      <c r="B36" s="11" t="s">
        <v>119</v>
      </c>
      <c r="C36" s="51">
        <f t="shared" ref="C36:N36" si="3">C35*$E$22</f>
        <v>22800000</v>
      </c>
      <c r="D36" s="51">
        <f t="shared" si="3"/>
        <v>24700000</v>
      </c>
      <c r="E36" s="51">
        <f t="shared" si="3"/>
        <v>24700000</v>
      </c>
      <c r="F36" s="51">
        <f t="shared" si="3"/>
        <v>24700000</v>
      </c>
      <c r="G36" s="51">
        <f t="shared" si="3"/>
        <v>24700000</v>
      </c>
      <c r="H36" s="51">
        <f t="shared" si="3"/>
        <v>24700000</v>
      </c>
      <c r="I36" s="51">
        <f t="shared" si="3"/>
        <v>24700000</v>
      </c>
      <c r="J36" s="51">
        <f t="shared" si="3"/>
        <v>24700000</v>
      </c>
      <c r="K36" s="51">
        <f t="shared" si="3"/>
        <v>24700000</v>
      </c>
      <c r="L36" s="51">
        <f t="shared" si="3"/>
        <v>24700000</v>
      </c>
      <c r="M36" s="51">
        <f t="shared" si="3"/>
        <v>24700000</v>
      </c>
      <c r="N36" s="51">
        <f t="shared" si="3"/>
        <v>24700000</v>
      </c>
      <c r="O36" s="97">
        <f t="shared" si="2"/>
        <v>294500000</v>
      </c>
    </row>
    <row r="37" spans="2:15" ht="15.75" customHeight="1">
      <c r="B37" s="11" t="s">
        <v>135</v>
      </c>
      <c r="C37" s="51">
        <f t="shared" ref="C37:N37" si="4">C35*$E$23</f>
        <v>27600000</v>
      </c>
      <c r="D37" s="51">
        <f t="shared" si="4"/>
        <v>29900000</v>
      </c>
      <c r="E37" s="51">
        <f t="shared" si="4"/>
        <v>29900000</v>
      </c>
      <c r="F37" s="51">
        <f t="shared" si="4"/>
        <v>29900000</v>
      </c>
      <c r="G37" s="51">
        <f t="shared" si="4"/>
        <v>29900000</v>
      </c>
      <c r="H37" s="51">
        <f t="shared" si="4"/>
        <v>29900000</v>
      </c>
      <c r="I37" s="51">
        <f t="shared" si="4"/>
        <v>29900000</v>
      </c>
      <c r="J37" s="51">
        <f t="shared" si="4"/>
        <v>29900000</v>
      </c>
      <c r="K37" s="51">
        <f t="shared" si="4"/>
        <v>29900000</v>
      </c>
      <c r="L37" s="51">
        <f t="shared" si="4"/>
        <v>29900000</v>
      </c>
      <c r="M37" s="51">
        <f t="shared" si="4"/>
        <v>29900000</v>
      </c>
      <c r="N37" s="51">
        <f t="shared" si="4"/>
        <v>29900000</v>
      </c>
      <c r="O37" s="97">
        <f t="shared" si="2"/>
        <v>356500000</v>
      </c>
    </row>
    <row r="38" spans="2:15" ht="15.75" customHeight="1">
      <c r="B38" s="11" t="s">
        <v>142</v>
      </c>
      <c r="C38" s="51">
        <f t="shared" ref="C38:N38" si="5">C35*$E$24</f>
        <v>10800000</v>
      </c>
      <c r="D38" s="51">
        <f t="shared" si="5"/>
        <v>11700000</v>
      </c>
      <c r="E38" s="51">
        <f t="shared" si="5"/>
        <v>11700000</v>
      </c>
      <c r="F38" s="51">
        <f t="shared" si="5"/>
        <v>11700000</v>
      </c>
      <c r="G38" s="51">
        <f t="shared" si="5"/>
        <v>11700000</v>
      </c>
      <c r="H38" s="51">
        <f t="shared" si="5"/>
        <v>11700000</v>
      </c>
      <c r="I38" s="51">
        <f t="shared" si="5"/>
        <v>11700000</v>
      </c>
      <c r="J38" s="51">
        <f t="shared" si="5"/>
        <v>11700000</v>
      </c>
      <c r="K38" s="51">
        <f t="shared" si="5"/>
        <v>11700000</v>
      </c>
      <c r="L38" s="51">
        <f t="shared" si="5"/>
        <v>11700000</v>
      </c>
      <c r="M38" s="51">
        <f t="shared" si="5"/>
        <v>11700000</v>
      </c>
      <c r="N38" s="51">
        <f t="shared" si="5"/>
        <v>11700000</v>
      </c>
      <c r="O38" s="97">
        <f t="shared" si="2"/>
        <v>139500000</v>
      </c>
    </row>
    <row r="39" spans="2:15" ht="15.75" customHeight="1">
      <c r="B39" s="65" t="s">
        <v>150</v>
      </c>
      <c r="C39" s="68">
        <f t="shared" ref="C39:O39" si="6">SUM(C36:C38)</f>
        <v>61200000</v>
      </c>
      <c r="D39" s="68">
        <f t="shared" si="6"/>
        <v>66300000</v>
      </c>
      <c r="E39" s="68">
        <f t="shared" si="6"/>
        <v>66300000</v>
      </c>
      <c r="F39" s="68">
        <f t="shared" si="6"/>
        <v>66300000</v>
      </c>
      <c r="G39" s="68">
        <f t="shared" si="6"/>
        <v>66300000</v>
      </c>
      <c r="H39" s="68">
        <f t="shared" si="6"/>
        <v>66300000</v>
      </c>
      <c r="I39" s="68">
        <f t="shared" si="6"/>
        <v>66300000</v>
      </c>
      <c r="J39" s="68">
        <f t="shared" si="6"/>
        <v>66300000</v>
      </c>
      <c r="K39" s="68">
        <f t="shared" si="6"/>
        <v>66300000</v>
      </c>
      <c r="L39" s="68">
        <f t="shared" si="6"/>
        <v>66300000</v>
      </c>
      <c r="M39" s="68">
        <f t="shared" si="6"/>
        <v>66300000</v>
      </c>
      <c r="N39" s="68">
        <f t="shared" si="6"/>
        <v>66300000</v>
      </c>
      <c r="O39" s="68">
        <f t="shared" si="6"/>
        <v>790500000</v>
      </c>
    </row>
    <row r="40" spans="2:15" ht="16.8">
      <c r="B40" s="11" t="s">
        <v>155</v>
      </c>
      <c r="C40" s="51">
        <v>2000000</v>
      </c>
      <c r="D40" s="14" t="s">
        <v>156</v>
      </c>
      <c r="E40" s="14" t="s">
        <v>156</v>
      </c>
      <c r="F40" s="14" t="s">
        <v>156</v>
      </c>
      <c r="G40" s="14" t="s">
        <v>156</v>
      </c>
      <c r="H40" s="14" t="s">
        <v>156</v>
      </c>
      <c r="I40" s="14" t="s">
        <v>156</v>
      </c>
      <c r="J40" s="14" t="s">
        <v>156</v>
      </c>
      <c r="K40" s="14" t="s">
        <v>156</v>
      </c>
      <c r="L40" s="14" t="s">
        <v>156</v>
      </c>
      <c r="M40" s="14" t="s">
        <v>156</v>
      </c>
      <c r="N40" s="14" t="s">
        <v>156</v>
      </c>
      <c r="O40" s="14" t="s">
        <v>156</v>
      </c>
    </row>
    <row r="41" spans="2:15" ht="16.8">
      <c r="B41" s="65" t="s">
        <v>157</v>
      </c>
      <c r="C41" s="68">
        <f>C39-C40</f>
        <v>59200000</v>
      </c>
      <c r="D41" s="68">
        <f t="shared" ref="D41:O41" si="7">D39</f>
        <v>66300000</v>
      </c>
      <c r="E41" s="68">
        <f t="shared" si="7"/>
        <v>66300000</v>
      </c>
      <c r="F41" s="68">
        <f t="shared" si="7"/>
        <v>66300000</v>
      </c>
      <c r="G41" s="68">
        <f t="shared" si="7"/>
        <v>66300000</v>
      </c>
      <c r="H41" s="68">
        <f t="shared" si="7"/>
        <v>66300000</v>
      </c>
      <c r="I41" s="68">
        <f t="shared" si="7"/>
        <v>66300000</v>
      </c>
      <c r="J41" s="68">
        <f t="shared" si="7"/>
        <v>66300000</v>
      </c>
      <c r="K41" s="68">
        <f t="shared" si="7"/>
        <v>66300000</v>
      </c>
      <c r="L41" s="68">
        <f t="shared" si="7"/>
        <v>66300000</v>
      </c>
      <c r="M41" s="68">
        <f t="shared" si="7"/>
        <v>66300000</v>
      </c>
      <c r="N41" s="68">
        <f t="shared" si="7"/>
        <v>66300000</v>
      </c>
      <c r="O41" s="68">
        <f t="shared" si="7"/>
        <v>790500000</v>
      </c>
    </row>
    <row r="42" spans="2:15" ht="16.8">
      <c r="B42" s="11" t="s">
        <v>169</v>
      </c>
      <c r="C42" s="14">
        <f t="shared" ref="C42:N42" si="8">(C35*$C$22)/1000</f>
        <v>150</v>
      </c>
      <c r="D42" s="14">
        <f t="shared" si="8"/>
        <v>162.5</v>
      </c>
      <c r="E42" s="14">
        <f t="shared" si="8"/>
        <v>162.5</v>
      </c>
      <c r="F42" s="14">
        <f t="shared" si="8"/>
        <v>162.5</v>
      </c>
      <c r="G42" s="14">
        <f t="shared" si="8"/>
        <v>162.5</v>
      </c>
      <c r="H42" s="14">
        <f t="shared" si="8"/>
        <v>162.5</v>
      </c>
      <c r="I42" s="14">
        <f t="shared" si="8"/>
        <v>162.5</v>
      </c>
      <c r="J42" s="14">
        <f t="shared" si="8"/>
        <v>162.5</v>
      </c>
      <c r="K42" s="14">
        <f t="shared" si="8"/>
        <v>162.5</v>
      </c>
      <c r="L42" s="14">
        <f t="shared" si="8"/>
        <v>162.5</v>
      </c>
      <c r="M42" s="14">
        <f t="shared" si="8"/>
        <v>162.5</v>
      </c>
      <c r="N42" s="14">
        <f t="shared" si="8"/>
        <v>162.5</v>
      </c>
      <c r="O42" s="85">
        <f t="shared" ref="O42:O44" si="9">SUM(C42:N42)</f>
        <v>1937.5</v>
      </c>
    </row>
    <row r="43" spans="2:15" ht="16.8">
      <c r="B43" s="11" t="s">
        <v>177</v>
      </c>
      <c r="C43" s="14">
        <f t="shared" ref="C43:N43" si="10">(C35*$C$23)/1000</f>
        <v>150</v>
      </c>
      <c r="D43" s="14">
        <f t="shared" si="10"/>
        <v>162.5</v>
      </c>
      <c r="E43" s="14">
        <f t="shared" si="10"/>
        <v>162.5</v>
      </c>
      <c r="F43" s="14">
        <f t="shared" si="10"/>
        <v>162.5</v>
      </c>
      <c r="G43" s="14">
        <f t="shared" si="10"/>
        <v>162.5</v>
      </c>
      <c r="H43" s="14">
        <f t="shared" si="10"/>
        <v>162.5</v>
      </c>
      <c r="I43" s="14">
        <f t="shared" si="10"/>
        <v>162.5</v>
      </c>
      <c r="J43" s="14">
        <f t="shared" si="10"/>
        <v>162.5</v>
      </c>
      <c r="K43" s="14">
        <f t="shared" si="10"/>
        <v>162.5</v>
      </c>
      <c r="L43" s="14">
        <f t="shared" si="10"/>
        <v>162.5</v>
      </c>
      <c r="M43" s="14">
        <f t="shared" si="10"/>
        <v>162.5</v>
      </c>
      <c r="N43" s="14">
        <f t="shared" si="10"/>
        <v>162.5</v>
      </c>
      <c r="O43" s="85">
        <f t="shared" si="9"/>
        <v>1937.5</v>
      </c>
    </row>
    <row r="44" spans="2:15" ht="16.8">
      <c r="B44" s="11" t="s">
        <v>186</v>
      </c>
      <c r="C44" s="14">
        <f t="shared" ref="C44:N44" si="11">(C35*$C$24)/1000</f>
        <v>150</v>
      </c>
      <c r="D44" s="14">
        <f t="shared" si="11"/>
        <v>162.5</v>
      </c>
      <c r="E44" s="14">
        <f t="shared" si="11"/>
        <v>162.5</v>
      </c>
      <c r="F44" s="14">
        <f t="shared" si="11"/>
        <v>162.5</v>
      </c>
      <c r="G44" s="14">
        <f t="shared" si="11"/>
        <v>162.5</v>
      </c>
      <c r="H44" s="14">
        <f t="shared" si="11"/>
        <v>162.5</v>
      </c>
      <c r="I44" s="14">
        <f t="shared" si="11"/>
        <v>162.5</v>
      </c>
      <c r="J44" s="14">
        <f t="shared" si="11"/>
        <v>162.5</v>
      </c>
      <c r="K44" s="14">
        <f t="shared" si="11"/>
        <v>162.5</v>
      </c>
      <c r="L44" s="14">
        <f t="shared" si="11"/>
        <v>162.5</v>
      </c>
      <c r="M44" s="14">
        <f t="shared" si="11"/>
        <v>162.5</v>
      </c>
      <c r="N44" s="14">
        <f t="shared" si="11"/>
        <v>162.5</v>
      </c>
      <c r="O44" s="85">
        <f t="shared" si="9"/>
        <v>1937.5</v>
      </c>
    </row>
    <row r="45" spans="2:15" ht="16.8">
      <c r="B45" s="11" t="s">
        <v>188</v>
      </c>
      <c r="C45" s="51">
        <f t="shared" ref="C45:O45" si="12">C42*$G$22</f>
        <v>5775000</v>
      </c>
      <c r="D45" s="51">
        <f t="shared" si="12"/>
        <v>6256250</v>
      </c>
      <c r="E45" s="51">
        <f t="shared" si="12"/>
        <v>6256250</v>
      </c>
      <c r="F45" s="51">
        <f t="shared" si="12"/>
        <v>6256250</v>
      </c>
      <c r="G45" s="51">
        <f t="shared" si="12"/>
        <v>6256250</v>
      </c>
      <c r="H45" s="51">
        <f t="shared" si="12"/>
        <v>6256250</v>
      </c>
      <c r="I45" s="51">
        <f t="shared" si="12"/>
        <v>6256250</v>
      </c>
      <c r="J45" s="51">
        <f t="shared" si="12"/>
        <v>6256250</v>
      </c>
      <c r="K45" s="51">
        <f t="shared" si="12"/>
        <v>6256250</v>
      </c>
      <c r="L45" s="51">
        <f t="shared" si="12"/>
        <v>6256250</v>
      </c>
      <c r="M45" s="51">
        <f t="shared" si="12"/>
        <v>6256250</v>
      </c>
      <c r="N45" s="51">
        <f t="shared" si="12"/>
        <v>6256250</v>
      </c>
      <c r="O45" s="97">
        <f t="shared" si="12"/>
        <v>74593750</v>
      </c>
    </row>
    <row r="46" spans="2:15" ht="16.8">
      <c r="B46" s="11" t="s">
        <v>193</v>
      </c>
      <c r="C46" s="51">
        <f t="shared" ref="C46:O46" si="13">C43*$G$23</f>
        <v>5775000</v>
      </c>
      <c r="D46" s="51">
        <f t="shared" si="13"/>
        <v>6256250</v>
      </c>
      <c r="E46" s="51">
        <f t="shared" si="13"/>
        <v>6256250</v>
      </c>
      <c r="F46" s="51">
        <f t="shared" si="13"/>
        <v>6256250</v>
      </c>
      <c r="G46" s="51">
        <f t="shared" si="13"/>
        <v>6256250</v>
      </c>
      <c r="H46" s="51">
        <f t="shared" si="13"/>
        <v>6256250</v>
      </c>
      <c r="I46" s="51">
        <f t="shared" si="13"/>
        <v>6256250</v>
      </c>
      <c r="J46" s="51">
        <f t="shared" si="13"/>
        <v>6256250</v>
      </c>
      <c r="K46" s="51">
        <f t="shared" si="13"/>
        <v>6256250</v>
      </c>
      <c r="L46" s="51">
        <f t="shared" si="13"/>
        <v>6256250</v>
      </c>
      <c r="M46" s="51">
        <f t="shared" si="13"/>
        <v>6256250</v>
      </c>
      <c r="N46" s="51">
        <f t="shared" si="13"/>
        <v>6256250</v>
      </c>
      <c r="O46" s="97">
        <f t="shared" si="13"/>
        <v>74593750</v>
      </c>
    </row>
    <row r="47" spans="2:15" ht="16.8">
      <c r="B47" s="11" t="s">
        <v>199</v>
      </c>
      <c r="C47" s="51">
        <f t="shared" ref="C47:O47" si="14">C44*$G$24</f>
        <v>3870000</v>
      </c>
      <c r="D47" s="51">
        <f t="shared" si="14"/>
        <v>4192500</v>
      </c>
      <c r="E47" s="51">
        <f t="shared" si="14"/>
        <v>4192500</v>
      </c>
      <c r="F47" s="51">
        <f t="shared" si="14"/>
        <v>4192500</v>
      </c>
      <c r="G47" s="51">
        <f t="shared" si="14"/>
        <v>4192500</v>
      </c>
      <c r="H47" s="51">
        <f t="shared" si="14"/>
        <v>4192500</v>
      </c>
      <c r="I47" s="51">
        <f t="shared" si="14"/>
        <v>4192500</v>
      </c>
      <c r="J47" s="51">
        <f t="shared" si="14"/>
        <v>4192500</v>
      </c>
      <c r="K47" s="51">
        <f t="shared" si="14"/>
        <v>4192500</v>
      </c>
      <c r="L47" s="51">
        <f t="shared" si="14"/>
        <v>4192500</v>
      </c>
      <c r="M47" s="51">
        <f t="shared" si="14"/>
        <v>4192500</v>
      </c>
      <c r="N47" s="51">
        <f t="shared" si="14"/>
        <v>4192500</v>
      </c>
      <c r="O47" s="97">
        <f t="shared" si="14"/>
        <v>49987500</v>
      </c>
    </row>
    <row r="48" spans="2:15" ht="16.8">
      <c r="B48" s="65" t="s">
        <v>203</v>
      </c>
      <c r="C48" s="68">
        <f t="shared" ref="C48:O48" si="15">SUM(C45:C47)</f>
        <v>15420000</v>
      </c>
      <c r="D48" s="68">
        <f t="shared" si="15"/>
        <v>16705000</v>
      </c>
      <c r="E48" s="68">
        <f t="shared" si="15"/>
        <v>16705000</v>
      </c>
      <c r="F48" s="68">
        <f t="shared" si="15"/>
        <v>16705000</v>
      </c>
      <c r="G48" s="68">
        <f t="shared" si="15"/>
        <v>16705000</v>
      </c>
      <c r="H48" s="68">
        <f t="shared" si="15"/>
        <v>16705000</v>
      </c>
      <c r="I48" s="68">
        <f t="shared" si="15"/>
        <v>16705000</v>
      </c>
      <c r="J48" s="68">
        <f t="shared" si="15"/>
        <v>16705000</v>
      </c>
      <c r="K48" s="68">
        <f t="shared" si="15"/>
        <v>16705000</v>
      </c>
      <c r="L48" s="68">
        <f t="shared" si="15"/>
        <v>16705000</v>
      </c>
      <c r="M48" s="68">
        <f t="shared" si="15"/>
        <v>16705000</v>
      </c>
      <c r="N48" s="68">
        <f t="shared" si="15"/>
        <v>16705000</v>
      </c>
      <c r="O48" s="68">
        <f t="shared" si="15"/>
        <v>199175000</v>
      </c>
    </row>
    <row r="51" spans="2:7" ht="16.8">
      <c r="B51" s="275" t="s">
        <v>204</v>
      </c>
      <c r="C51" s="273"/>
      <c r="D51" s="273"/>
      <c r="E51" s="273"/>
      <c r="F51" s="273"/>
      <c r="G51" s="259"/>
    </row>
    <row r="52" spans="2:7" ht="16.8">
      <c r="B52" s="8" t="s">
        <v>8</v>
      </c>
      <c r="C52" s="8" t="s">
        <v>116</v>
      </c>
      <c r="D52" s="8" t="s">
        <v>141</v>
      </c>
      <c r="E52" s="8" t="s">
        <v>143</v>
      </c>
      <c r="F52" s="8" t="s">
        <v>144</v>
      </c>
      <c r="G52" s="8" t="s">
        <v>145</v>
      </c>
    </row>
    <row r="53" spans="2:7" ht="16.8">
      <c r="B53" s="11" t="s">
        <v>206</v>
      </c>
      <c r="C53" s="138">
        <f>O35/12</f>
        <v>645.83333333333337</v>
      </c>
      <c r="D53" s="138">
        <f t="shared" ref="D53:G53" si="16">C53*(1+$C$6)</f>
        <v>710.41666666666674</v>
      </c>
      <c r="E53" s="138">
        <f t="shared" si="16"/>
        <v>781.45833333333348</v>
      </c>
      <c r="F53" s="138">
        <f t="shared" si="16"/>
        <v>859.60416666666686</v>
      </c>
      <c r="G53" s="138">
        <f t="shared" si="16"/>
        <v>945.56458333333364</v>
      </c>
    </row>
    <row r="54" spans="2:7" ht="16.8">
      <c r="B54" s="11" t="s">
        <v>207</v>
      </c>
      <c r="C54" s="14">
        <f t="shared" ref="C54:C57" si="17">O35</f>
        <v>7750</v>
      </c>
      <c r="D54" s="138">
        <f t="shared" ref="D54:G54" si="18">C54*(1+$C$6)</f>
        <v>8525</v>
      </c>
      <c r="E54" s="138">
        <f t="shared" si="18"/>
        <v>9377.5</v>
      </c>
      <c r="F54" s="138">
        <f t="shared" si="18"/>
        <v>10315.25</v>
      </c>
      <c r="G54" s="138">
        <f t="shared" si="18"/>
        <v>11346.775000000001</v>
      </c>
    </row>
    <row r="55" spans="2:7" ht="16.8">
      <c r="B55" s="11" t="s">
        <v>119</v>
      </c>
      <c r="C55" s="51">
        <f t="shared" si="17"/>
        <v>294500000</v>
      </c>
      <c r="D55" s="51">
        <f t="shared" ref="D55:G55" si="19">C55*(1+$C$8)</f>
        <v>332784999.99999994</v>
      </c>
      <c r="E55" s="51">
        <f t="shared" si="19"/>
        <v>376047049.99999988</v>
      </c>
      <c r="F55" s="51">
        <f t="shared" si="19"/>
        <v>424933166.49999982</v>
      </c>
      <c r="G55" s="51">
        <f t="shared" si="19"/>
        <v>480174478.14499974</v>
      </c>
    </row>
    <row r="56" spans="2:7" ht="16.8">
      <c r="B56" s="11" t="s">
        <v>135</v>
      </c>
      <c r="C56" s="51">
        <f t="shared" si="17"/>
        <v>356500000</v>
      </c>
      <c r="D56" s="51">
        <f t="shared" ref="D56:G56" si="20">C56*(1+$C$8)</f>
        <v>402844999.99999994</v>
      </c>
      <c r="E56" s="51">
        <f t="shared" si="20"/>
        <v>455214849.99999988</v>
      </c>
      <c r="F56" s="51">
        <f t="shared" si="20"/>
        <v>514392780.49999982</v>
      </c>
      <c r="G56" s="51">
        <f t="shared" si="20"/>
        <v>581263841.96499979</v>
      </c>
    </row>
    <row r="57" spans="2:7" ht="16.8">
      <c r="B57" s="11" t="s">
        <v>142</v>
      </c>
      <c r="C57" s="51">
        <f t="shared" si="17"/>
        <v>139500000</v>
      </c>
      <c r="D57" s="51">
        <f t="shared" ref="D57:G57" si="21">C57*(1+$C$8)</f>
        <v>157635000</v>
      </c>
      <c r="E57" s="51">
        <f t="shared" si="21"/>
        <v>178127549.99999997</v>
      </c>
      <c r="F57" s="51">
        <f t="shared" si="21"/>
        <v>201284131.49999994</v>
      </c>
      <c r="G57" s="51">
        <f t="shared" si="21"/>
        <v>227451068.59499991</v>
      </c>
    </row>
    <row r="58" spans="2:7" ht="16.8">
      <c r="B58" s="65" t="s">
        <v>150</v>
      </c>
      <c r="C58" s="68">
        <f t="shared" ref="C58:G58" si="22">SUM(C55:C57)</f>
        <v>790500000</v>
      </c>
      <c r="D58" s="68">
        <f t="shared" si="22"/>
        <v>893264999.99999988</v>
      </c>
      <c r="E58" s="68">
        <f t="shared" si="22"/>
        <v>1009389449.9999998</v>
      </c>
      <c r="F58" s="68">
        <f t="shared" si="22"/>
        <v>1140610078.4999995</v>
      </c>
      <c r="G58" s="68">
        <f t="shared" si="22"/>
        <v>1288889388.7049994</v>
      </c>
    </row>
    <row r="59" spans="2:7" ht="16.8">
      <c r="B59" s="11" t="s">
        <v>155</v>
      </c>
      <c r="C59" s="51">
        <f>C40</f>
        <v>2000000</v>
      </c>
      <c r="D59" s="14" t="s">
        <v>156</v>
      </c>
      <c r="E59" s="14" t="s">
        <v>156</v>
      </c>
      <c r="F59" s="14" t="s">
        <v>156</v>
      </c>
      <c r="G59" s="14" t="s">
        <v>156</v>
      </c>
    </row>
    <row r="60" spans="2:7" ht="16.8">
      <c r="B60" s="65" t="s">
        <v>157</v>
      </c>
      <c r="C60" s="68">
        <f>C58-C59</f>
        <v>788500000</v>
      </c>
      <c r="D60" s="68">
        <f t="shared" ref="D60:G60" si="23">D58</f>
        <v>893264999.99999988</v>
      </c>
      <c r="E60" s="68">
        <f t="shared" si="23"/>
        <v>1009389449.9999998</v>
      </c>
      <c r="F60" s="68">
        <f t="shared" si="23"/>
        <v>1140610078.4999995</v>
      </c>
      <c r="G60" s="68">
        <f t="shared" si="23"/>
        <v>1288889388.7049994</v>
      </c>
    </row>
    <row r="61" spans="2:7" ht="16.8">
      <c r="B61" s="11" t="s">
        <v>169</v>
      </c>
      <c r="C61" s="14">
        <f t="shared" ref="C61:C66" si="24">O42</f>
        <v>1937.5</v>
      </c>
      <c r="D61" s="159">
        <f t="shared" ref="D61:G61" si="25">(D54*$C$22)/1000</f>
        <v>2131.25</v>
      </c>
      <c r="E61" s="159">
        <f t="shared" si="25"/>
        <v>2344.375</v>
      </c>
      <c r="F61" s="159">
        <f t="shared" si="25"/>
        <v>2578.8125</v>
      </c>
      <c r="G61" s="159">
        <f t="shared" si="25"/>
        <v>2836.6937500000004</v>
      </c>
    </row>
    <row r="62" spans="2:7" ht="16.8">
      <c r="B62" s="11" t="s">
        <v>177</v>
      </c>
      <c r="C62" s="14">
        <f t="shared" si="24"/>
        <v>1937.5</v>
      </c>
      <c r="D62" s="159">
        <f t="shared" ref="D62:G62" si="26">(D54*$C$23)/1000</f>
        <v>2131.25</v>
      </c>
      <c r="E62" s="159">
        <f t="shared" si="26"/>
        <v>2344.375</v>
      </c>
      <c r="F62" s="159">
        <f t="shared" si="26"/>
        <v>2578.8125</v>
      </c>
      <c r="G62" s="159">
        <f t="shared" si="26"/>
        <v>2836.6937500000004</v>
      </c>
    </row>
    <row r="63" spans="2:7" ht="16.8">
      <c r="B63" s="11" t="s">
        <v>186</v>
      </c>
      <c r="C63" s="14">
        <f t="shared" si="24"/>
        <v>1937.5</v>
      </c>
      <c r="D63" s="159">
        <f t="shared" ref="D63:G63" si="27">(D54*$C$24)/1000</f>
        <v>2131.25</v>
      </c>
      <c r="E63" s="159">
        <f t="shared" si="27"/>
        <v>2344.375</v>
      </c>
      <c r="F63" s="159">
        <f t="shared" si="27"/>
        <v>2578.8125</v>
      </c>
      <c r="G63" s="159">
        <f t="shared" si="27"/>
        <v>2836.6937500000004</v>
      </c>
    </row>
    <row r="64" spans="2:7" ht="16.8">
      <c r="B64" s="11" t="s">
        <v>188</v>
      </c>
      <c r="C64" s="51">
        <f t="shared" si="24"/>
        <v>74593750</v>
      </c>
      <c r="D64" s="51">
        <f t="shared" ref="D64:G64" si="28">D61*$G$22*(1+$C$7)</f>
        <v>84514718.75</v>
      </c>
      <c r="E64" s="51">
        <f t="shared" si="28"/>
        <v>92966190.625</v>
      </c>
      <c r="F64" s="51">
        <f t="shared" si="28"/>
        <v>102262809.6875</v>
      </c>
      <c r="G64" s="51">
        <f t="shared" si="28"/>
        <v>112489090.65625001</v>
      </c>
    </row>
    <row r="65" spans="2:7" ht="16.8">
      <c r="B65" s="11" t="s">
        <v>193</v>
      </c>
      <c r="C65" s="51">
        <f t="shared" si="24"/>
        <v>74593750</v>
      </c>
      <c r="D65" s="51">
        <f t="shared" ref="D65:G65" si="29">D62*$G$23*(1+$C$7)</f>
        <v>84514718.75</v>
      </c>
      <c r="E65" s="51">
        <f t="shared" si="29"/>
        <v>92966190.625</v>
      </c>
      <c r="F65" s="51">
        <f t="shared" si="29"/>
        <v>102262809.6875</v>
      </c>
      <c r="G65" s="51">
        <f t="shared" si="29"/>
        <v>112489090.65625001</v>
      </c>
    </row>
    <row r="66" spans="2:7" ht="16.8">
      <c r="B66" s="11" t="s">
        <v>199</v>
      </c>
      <c r="C66" s="51">
        <f t="shared" si="24"/>
        <v>49987500</v>
      </c>
      <c r="D66" s="51">
        <f t="shared" ref="D66:G66" si="30">D63*$G$24*(1+$C$7)</f>
        <v>56635837.5</v>
      </c>
      <c r="E66" s="51">
        <f t="shared" si="30"/>
        <v>62299421.25</v>
      </c>
      <c r="F66" s="51">
        <f t="shared" si="30"/>
        <v>68529363.375</v>
      </c>
      <c r="G66" s="51">
        <f t="shared" si="30"/>
        <v>75382299.712500021</v>
      </c>
    </row>
    <row r="67" spans="2:7" ht="16.8">
      <c r="B67" s="65" t="s">
        <v>203</v>
      </c>
      <c r="C67" s="68">
        <f t="shared" ref="C67:G67" si="31">SUM(C64:C66)</f>
        <v>199175000</v>
      </c>
      <c r="D67" s="68">
        <f t="shared" si="31"/>
        <v>225665275</v>
      </c>
      <c r="E67" s="68">
        <f t="shared" si="31"/>
        <v>248231802.5</v>
      </c>
      <c r="F67" s="68">
        <f t="shared" si="31"/>
        <v>273054982.75</v>
      </c>
      <c r="G67" s="68">
        <f t="shared" si="31"/>
        <v>300360481.02500004</v>
      </c>
    </row>
    <row r="68" spans="2:7" ht="16.8">
      <c r="B68" s="11" t="s">
        <v>216</v>
      </c>
      <c r="C68" s="162"/>
      <c r="D68" s="72">
        <f t="shared" ref="D68:G68" si="32">((D60-C60)/C60)*100%</f>
        <v>0.13286620164869992</v>
      </c>
      <c r="E68" s="72">
        <f t="shared" si="32"/>
        <v>0.12999999999999989</v>
      </c>
      <c r="F68" s="72">
        <f t="shared" si="32"/>
        <v>0.12999999999999978</v>
      </c>
      <c r="G68" s="72">
        <f t="shared" si="32"/>
        <v>0.12999999999999998</v>
      </c>
    </row>
  </sheetData>
  <mergeCells count="16">
    <mergeCell ref="B2:G2"/>
    <mergeCell ref="D3:G3"/>
    <mergeCell ref="D4:G4"/>
    <mergeCell ref="D5:G5"/>
    <mergeCell ref="D6:G6"/>
    <mergeCell ref="D7:G7"/>
    <mergeCell ref="D8:G8"/>
    <mergeCell ref="D30:E30"/>
    <mergeCell ref="B51:G51"/>
    <mergeCell ref="D9:G9"/>
    <mergeCell ref="D10:G10"/>
    <mergeCell ref="B13:E13"/>
    <mergeCell ref="B20:G20"/>
    <mergeCell ref="B26:E26"/>
    <mergeCell ref="B29:E29"/>
    <mergeCell ref="B33:O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07"/>
  <sheetViews>
    <sheetView workbookViewId="0"/>
  </sheetViews>
  <sheetFormatPr defaultColWidth="12.6640625" defaultRowHeight="15.75" customHeight="1"/>
  <cols>
    <col min="2" max="2" width="35.44140625" customWidth="1"/>
    <col min="3" max="3" width="51.33203125" customWidth="1"/>
    <col min="4" max="5" width="34.33203125" customWidth="1"/>
    <col min="6" max="6" width="23.77734375" customWidth="1"/>
    <col min="7" max="7" width="26.33203125" customWidth="1"/>
    <col min="8" max="8" width="19.77734375" customWidth="1"/>
    <col min="9" max="9" width="26.6640625" customWidth="1"/>
    <col min="10" max="10" width="15.44140625" customWidth="1"/>
    <col min="11" max="11" width="37.77734375" customWidth="1"/>
    <col min="12" max="12" width="11.21875" customWidth="1"/>
    <col min="13" max="13" width="13.109375" customWidth="1"/>
    <col min="14" max="14" width="30.44140625" customWidth="1"/>
    <col min="15" max="15" width="41.21875" customWidth="1"/>
    <col min="16" max="16" width="40.6640625" customWidth="1"/>
    <col min="19" max="19" width="17.33203125" customWidth="1"/>
    <col min="20" max="20" width="17.44140625" customWidth="1"/>
  </cols>
  <sheetData>
    <row r="1" spans="1:26" ht="16.8">
      <c r="A1" s="1"/>
      <c r="B1" s="2"/>
      <c r="C1" s="2"/>
      <c r="D1" s="2"/>
      <c r="E1" s="2"/>
      <c r="F1" s="6"/>
      <c r="G1" s="6"/>
      <c r="H1" s="6"/>
      <c r="I1" s="6"/>
      <c r="J1" s="6"/>
      <c r="K1" s="6"/>
      <c r="L1" s="6"/>
      <c r="M1" s="6"/>
      <c r="N1" s="6"/>
      <c r="O1" s="6"/>
      <c r="P1" s="6"/>
      <c r="Q1" s="6"/>
      <c r="R1" s="6"/>
      <c r="S1" s="6"/>
      <c r="T1" s="6"/>
      <c r="U1" s="6"/>
      <c r="V1" s="6"/>
      <c r="W1" s="6"/>
      <c r="X1" s="6"/>
      <c r="Y1" s="6"/>
      <c r="Z1" s="6"/>
    </row>
    <row r="2" spans="1:26" ht="16.8">
      <c r="A2" s="1"/>
      <c r="B2" s="2"/>
      <c r="C2" s="2"/>
      <c r="D2" s="2"/>
      <c r="E2" s="2"/>
      <c r="F2" s="6"/>
      <c r="G2" s="6"/>
      <c r="H2" s="6"/>
      <c r="I2" s="6"/>
      <c r="J2" s="6"/>
      <c r="K2" s="6"/>
      <c r="L2" s="6"/>
      <c r="M2" s="6"/>
      <c r="N2" s="6"/>
      <c r="O2" s="6"/>
      <c r="P2" s="6"/>
      <c r="Q2" s="6"/>
      <c r="R2" s="6"/>
      <c r="S2" s="6"/>
      <c r="T2" s="6"/>
      <c r="U2" s="6"/>
      <c r="V2" s="6"/>
      <c r="W2" s="6"/>
      <c r="X2" s="6"/>
      <c r="Y2" s="6"/>
      <c r="Z2" s="6"/>
    </row>
    <row r="3" spans="1:26" ht="16.8">
      <c r="A3" s="6"/>
      <c r="B3" s="289" t="s">
        <v>27</v>
      </c>
      <c r="C3" s="290"/>
      <c r="D3" s="290"/>
      <c r="E3" s="290"/>
      <c r="F3" s="261"/>
      <c r="G3" s="6"/>
      <c r="H3" s="6"/>
      <c r="I3" s="6"/>
      <c r="J3" s="6"/>
      <c r="K3" s="6"/>
      <c r="L3" s="6"/>
      <c r="M3" s="6"/>
      <c r="N3" s="6"/>
      <c r="O3" s="6"/>
      <c r="P3" s="6"/>
      <c r="Q3" s="6"/>
      <c r="R3" s="6"/>
      <c r="S3" s="6"/>
      <c r="T3" s="6"/>
      <c r="U3" s="6"/>
      <c r="V3" s="6"/>
      <c r="W3" s="6"/>
      <c r="X3" s="6"/>
      <c r="Y3" s="6"/>
      <c r="Z3" s="6"/>
    </row>
    <row r="4" spans="1:26" ht="16.8">
      <c r="A4" s="6"/>
      <c r="B4" s="264"/>
      <c r="C4" s="291"/>
      <c r="D4" s="291"/>
      <c r="E4" s="291"/>
      <c r="F4" s="257"/>
      <c r="G4" s="6"/>
      <c r="H4" s="6"/>
      <c r="I4" s="6"/>
      <c r="J4" s="6"/>
      <c r="K4" s="6"/>
      <c r="L4" s="6"/>
      <c r="M4" s="6"/>
      <c r="N4" s="6"/>
      <c r="O4" s="6"/>
      <c r="P4" s="6"/>
      <c r="Q4" s="6"/>
      <c r="R4" s="6"/>
      <c r="S4" s="6"/>
      <c r="T4" s="6"/>
      <c r="U4" s="6"/>
      <c r="V4" s="6"/>
      <c r="W4" s="6"/>
      <c r="X4" s="6"/>
      <c r="Y4" s="6"/>
      <c r="Z4" s="6"/>
    </row>
    <row r="5" spans="1:26" ht="16.8">
      <c r="A5" s="6"/>
      <c r="B5" s="21" t="s">
        <v>33</v>
      </c>
      <c r="C5" s="288" t="s">
        <v>35</v>
      </c>
      <c r="D5" s="259"/>
      <c r="E5" s="21" t="s">
        <v>38</v>
      </c>
      <c r="F5" s="23" t="s">
        <v>40</v>
      </c>
      <c r="G5" s="25" t="s">
        <v>43</v>
      </c>
      <c r="H5" s="6"/>
      <c r="I5" s="6"/>
      <c r="J5" s="6"/>
      <c r="K5" s="6"/>
      <c r="L5" s="6"/>
      <c r="M5" s="6"/>
      <c r="N5" s="6"/>
      <c r="O5" s="6"/>
      <c r="P5" s="6"/>
      <c r="Q5" s="6"/>
      <c r="R5" s="6"/>
      <c r="S5" s="6"/>
      <c r="T5" s="6"/>
      <c r="U5" s="6"/>
      <c r="V5" s="6"/>
      <c r="W5" s="6"/>
      <c r="X5" s="6"/>
      <c r="Y5" s="6"/>
      <c r="Z5" s="6"/>
    </row>
    <row r="6" spans="1:26" ht="16.8">
      <c r="A6" s="6"/>
      <c r="B6" s="27" t="s">
        <v>45</v>
      </c>
      <c r="C6" s="292" t="s">
        <v>46</v>
      </c>
      <c r="D6" s="259"/>
      <c r="E6" s="30">
        <v>10000000</v>
      </c>
      <c r="F6" s="39">
        <f t="shared" ref="F6:F10" si="0">E6*1.235</f>
        <v>12350000.000000002</v>
      </c>
      <c r="G6" s="41"/>
      <c r="H6" s="6"/>
      <c r="J6" s="6"/>
      <c r="K6" s="6"/>
      <c r="L6" s="6"/>
      <c r="M6" s="6"/>
      <c r="N6" s="6"/>
      <c r="O6" s="6"/>
      <c r="P6" s="6"/>
      <c r="Q6" s="6"/>
      <c r="R6" s="6"/>
      <c r="S6" s="6"/>
      <c r="T6" s="6"/>
      <c r="U6" s="6"/>
      <c r="V6" s="6"/>
      <c r="W6" s="6"/>
      <c r="X6" s="6"/>
      <c r="Y6" s="6"/>
      <c r="Z6" s="6"/>
    </row>
    <row r="7" spans="1:26" ht="16.8">
      <c r="A7" s="6"/>
      <c r="B7" s="27" t="s">
        <v>62</v>
      </c>
      <c r="C7" s="292" t="s">
        <v>63</v>
      </c>
      <c r="D7" s="259"/>
      <c r="E7" s="30">
        <v>7000000</v>
      </c>
      <c r="F7" s="39">
        <f t="shared" si="0"/>
        <v>8645000</v>
      </c>
      <c r="G7" s="47"/>
      <c r="H7" s="6"/>
      <c r="I7" s="6"/>
      <c r="J7" s="6"/>
      <c r="K7" s="6"/>
      <c r="L7" s="6"/>
      <c r="M7" s="6"/>
      <c r="N7" s="6"/>
      <c r="O7" s="6"/>
      <c r="P7" s="6"/>
      <c r="Q7" s="6"/>
      <c r="R7" s="6"/>
      <c r="S7" s="6"/>
      <c r="T7" s="6"/>
      <c r="U7" s="6"/>
      <c r="V7" s="6"/>
      <c r="W7" s="6"/>
      <c r="X7" s="6"/>
      <c r="Y7" s="6"/>
      <c r="Z7" s="6"/>
    </row>
    <row r="8" spans="1:26" ht="16.8">
      <c r="A8" s="6"/>
      <c r="B8" s="27" t="s">
        <v>66</v>
      </c>
      <c r="C8" s="292" t="s">
        <v>67</v>
      </c>
      <c r="D8" s="259"/>
      <c r="E8" s="30">
        <v>7000000</v>
      </c>
      <c r="F8" s="39">
        <f t="shared" si="0"/>
        <v>8645000</v>
      </c>
      <c r="G8" s="47"/>
      <c r="H8" s="6"/>
      <c r="I8" s="6"/>
      <c r="J8" s="6"/>
      <c r="K8" s="6"/>
      <c r="L8" s="6"/>
      <c r="M8" s="6"/>
      <c r="N8" s="6"/>
      <c r="O8" s="6"/>
      <c r="P8" s="6"/>
      <c r="Q8" s="6"/>
      <c r="R8" s="6"/>
      <c r="S8" s="6"/>
      <c r="T8" s="6"/>
      <c r="U8" s="6"/>
      <c r="V8" s="6"/>
      <c r="W8" s="6"/>
      <c r="X8" s="6"/>
      <c r="Y8" s="6"/>
      <c r="Z8" s="6"/>
    </row>
    <row r="9" spans="1:26" ht="16.8">
      <c r="A9" s="6"/>
      <c r="B9" s="27" t="s">
        <v>68</v>
      </c>
      <c r="C9" s="292" t="s">
        <v>69</v>
      </c>
      <c r="D9" s="259"/>
      <c r="E9" s="30">
        <v>6500000</v>
      </c>
      <c r="F9" s="39">
        <f t="shared" si="0"/>
        <v>8027500.0000000009</v>
      </c>
      <c r="G9" s="47"/>
      <c r="H9" s="6"/>
      <c r="I9" s="6"/>
      <c r="J9" s="6"/>
      <c r="K9" s="6"/>
      <c r="L9" s="6"/>
      <c r="M9" s="6"/>
      <c r="N9" s="6"/>
      <c r="O9" s="6"/>
      <c r="P9" s="6"/>
      <c r="Q9" s="6"/>
      <c r="R9" s="6"/>
      <c r="S9" s="6"/>
      <c r="T9" s="6"/>
      <c r="U9" s="6"/>
      <c r="V9" s="6"/>
      <c r="W9" s="6"/>
      <c r="X9" s="6"/>
      <c r="Y9" s="6"/>
      <c r="Z9" s="6"/>
    </row>
    <row r="10" spans="1:26" ht="16.8">
      <c r="A10" s="6"/>
      <c r="B10" s="27" t="s">
        <v>70</v>
      </c>
      <c r="C10" s="292" t="s">
        <v>71</v>
      </c>
      <c r="D10" s="259"/>
      <c r="E10" s="30">
        <v>6500000</v>
      </c>
      <c r="F10" s="39">
        <f t="shared" si="0"/>
        <v>8027500.0000000009</v>
      </c>
      <c r="G10" s="47"/>
      <c r="H10" s="6"/>
      <c r="I10" s="6"/>
      <c r="J10" s="6"/>
      <c r="K10" s="6"/>
      <c r="L10" s="6"/>
      <c r="M10" s="6"/>
      <c r="N10" s="6"/>
      <c r="O10" s="6"/>
      <c r="P10" s="6"/>
      <c r="Q10" s="6"/>
      <c r="R10" s="6"/>
      <c r="S10" s="6"/>
      <c r="T10" s="6"/>
      <c r="U10" s="6"/>
      <c r="V10" s="6"/>
      <c r="W10" s="6"/>
      <c r="X10" s="6"/>
      <c r="Y10" s="6"/>
      <c r="Z10" s="6"/>
    </row>
    <row r="11" spans="1:26" ht="16.8">
      <c r="A11" s="6"/>
      <c r="B11" s="288" t="s">
        <v>75</v>
      </c>
      <c r="C11" s="273"/>
      <c r="D11" s="259"/>
      <c r="E11" s="50">
        <f>SUM(E6:E10)</f>
        <v>37000000</v>
      </c>
      <c r="F11" s="53">
        <f>SUM(F6:F10)</f>
        <v>45695000</v>
      </c>
      <c r="G11" s="47"/>
      <c r="H11" s="6"/>
      <c r="I11" s="6"/>
      <c r="J11" s="6"/>
      <c r="K11" s="6"/>
      <c r="L11" s="6"/>
      <c r="M11" s="6"/>
      <c r="N11" s="6"/>
      <c r="O11" s="6"/>
      <c r="P11" s="6"/>
      <c r="Q11" s="6"/>
      <c r="R11" s="6"/>
      <c r="S11" s="6"/>
      <c r="T11" s="6"/>
      <c r="U11" s="6"/>
      <c r="V11" s="6"/>
      <c r="W11" s="6"/>
      <c r="X11" s="6"/>
      <c r="Y11" s="6"/>
      <c r="Z11" s="6"/>
    </row>
    <row r="12" spans="1:26" ht="16.8">
      <c r="A12" s="6"/>
      <c r="B12" s="54"/>
      <c r="C12" s="6"/>
      <c r="D12" s="6"/>
      <c r="E12" s="6"/>
      <c r="F12" s="6"/>
      <c r="G12" s="6"/>
      <c r="H12" s="6"/>
      <c r="I12" s="6"/>
      <c r="J12" s="6"/>
      <c r="K12" s="6"/>
      <c r="L12" s="6"/>
      <c r="M12" s="6"/>
      <c r="N12" s="6"/>
      <c r="O12" s="6"/>
      <c r="P12" s="6"/>
      <c r="Q12" s="6"/>
      <c r="R12" s="6"/>
      <c r="S12" s="6"/>
      <c r="T12" s="6"/>
      <c r="U12" s="6"/>
      <c r="V12" s="6"/>
      <c r="W12" s="6"/>
      <c r="X12" s="6"/>
      <c r="Y12" s="6"/>
      <c r="Z12" s="6"/>
    </row>
    <row r="13" spans="1:26" ht="16.8">
      <c r="A13" s="6"/>
      <c r="B13" s="54"/>
      <c r="C13" s="6"/>
      <c r="D13" s="6"/>
      <c r="E13" s="6"/>
      <c r="F13" s="6"/>
      <c r="G13" s="6"/>
      <c r="H13" s="6"/>
      <c r="I13" s="1"/>
      <c r="J13" s="1"/>
      <c r="K13" s="1"/>
      <c r="L13" s="1"/>
      <c r="M13" s="1"/>
      <c r="N13" s="1"/>
      <c r="O13" s="1"/>
      <c r="P13" s="1"/>
      <c r="Q13" s="1"/>
      <c r="R13" s="1"/>
      <c r="S13" s="1"/>
      <c r="T13" s="6"/>
      <c r="U13" s="6"/>
      <c r="V13" s="6"/>
      <c r="W13" s="6"/>
      <c r="X13" s="6"/>
      <c r="Y13" s="6"/>
      <c r="Z13" s="6"/>
    </row>
    <row r="14" spans="1:26" ht="16.8">
      <c r="A14" s="6"/>
      <c r="B14" s="280" t="s">
        <v>85</v>
      </c>
      <c r="C14" s="273"/>
      <c r="D14" s="273"/>
      <c r="E14" s="273"/>
      <c r="F14" s="259"/>
      <c r="G14" s="57"/>
      <c r="H14" s="6"/>
      <c r="I14" s="6"/>
      <c r="J14" s="6"/>
      <c r="K14" s="6"/>
      <c r="L14" s="6"/>
      <c r="M14" s="6"/>
      <c r="N14" s="6"/>
      <c r="O14" s="6"/>
      <c r="P14" s="6"/>
      <c r="Q14" s="1"/>
      <c r="R14" s="1"/>
      <c r="S14" s="1"/>
      <c r="T14" s="6"/>
      <c r="U14" s="6"/>
      <c r="V14" s="6"/>
      <c r="W14" s="6"/>
      <c r="X14" s="6"/>
      <c r="Y14" s="6"/>
      <c r="Z14" s="6"/>
    </row>
    <row r="15" spans="1:26" ht="16.8">
      <c r="A15" s="6"/>
      <c r="B15" s="60" t="s">
        <v>29</v>
      </c>
      <c r="C15" s="61" t="s">
        <v>86</v>
      </c>
      <c r="D15" s="23"/>
      <c r="E15" s="23" t="s">
        <v>87</v>
      </c>
      <c r="F15" s="23" t="s">
        <v>88</v>
      </c>
      <c r="G15" s="6"/>
      <c r="H15" s="6"/>
      <c r="I15" s="6"/>
      <c r="J15" s="285"/>
      <c r="K15" s="277"/>
      <c r="L15" s="277"/>
      <c r="M15" s="277"/>
      <c r="N15" s="277"/>
      <c r="O15" s="277"/>
      <c r="P15" s="277"/>
      <c r="Q15" s="1"/>
      <c r="R15" s="1"/>
      <c r="S15" s="1"/>
      <c r="T15" s="6"/>
      <c r="U15" s="6"/>
      <c r="V15" s="6"/>
      <c r="W15" s="6"/>
      <c r="X15" s="6"/>
      <c r="Y15" s="6"/>
      <c r="Z15" s="62"/>
    </row>
    <row r="16" spans="1:26" ht="33.6">
      <c r="A16" s="6"/>
      <c r="B16" s="63">
        <v>1</v>
      </c>
      <c r="C16" s="27" t="s">
        <v>90</v>
      </c>
      <c r="D16" s="64"/>
      <c r="E16" s="30">
        <v>50000</v>
      </c>
      <c r="F16" s="69" t="s">
        <v>92</v>
      </c>
      <c r="G16" s="6"/>
      <c r="H16" s="6"/>
      <c r="I16" s="6"/>
      <c r="J16" s="70"/>
      <c r="K16" s="70"/>
      <c r="L16" s="70"/>
      <c r="M16" s="70"/>
      <c r="N16" s="70"/>
      <c r="O16" s="70"/>
      <c r="P16" s="70"/>
      <c r="Q16" s="71"/>
      <c r="R16" s="1"/>
      <c r="S16" s="1"/>
      <c r="T16" s="6"/>
      <c r="U16" s="6"/>
      <c r="V16" s="6"/>
      <c r="W16" s="6"/>
      <c r="X16" s="6"/>
      <c r="Y16" s="6"/>
      <c r="Z16" s="62"/>
    </row>
    <row r="17" spans="1:26" ht="16.8">
      <c r="A17" s="6"/>
      <c r="B17" s="63">
        <v>2</v>
      </c>
      <c r="C17" s="27" t="s">
        <v>98</v>
      </c>
      <c r="D17" s="64"/>
      <c r="E17" s="30">
        <v>100000</v>
      </c>
      <c r="F17" s="69" t="s">
        <v>92</v>
      </c>
      <c r="G17" s="6"/>
      <c r="H17" s="6"/>
      <c r="I17" s="6"/>
      <c r="J17" s="73"/>
      <c r="K17" s="74"/>
      <c r="L17" s="76"/>
      <c r="M17" s="73"/>
      <c r="N17" s="73"/>
      <c r="O17" s="77"/>
      <c r="P17" s="78"/>
      <c r="Q17" s="1"/>
      <c r="R17" s="1"/>
      <c r="S17" s="1"/>
      <c r="T17" s="6"/>
      <c r="U17" s="6"/>
      <c r="V17" s="6"/>
      <c r="W17" s="6"/>
      <c r="X17" s="6"/>
      <c r="Y17" s="6"/>
      <c r="Z17" s="62"/>
    </row>
    <row r="18" spans="1:26" ht="16.8">
      <c r="A18" s="6"/>
      <c r="B18" s="288" t="s">
        <v>75</v>
      </c>
      <c r="C18" s="259"/>
      <c r="D18" s="79"/>
      <c r="E18" s="79">
        <f>E16+E17</f>
        <v>150000</v>
      </c>
      <c r="F18" s="80"/>
      <c r="G18" s="6"/>
      <c r="H18" s="6"/>
      <c r="I18" s="6"/>
      <c r="J18" s="81"/>
      <c r="K18" s="74"/>
      <c r="L18" s="76"/>
      <c r="M18" s="73"/>
      <c r="N18" s="73"/>
      <c r="O18" s="77"/>
      <c r="P18" s="78"/>
      <c r="Q18" s="1"/>
      <c r="R18" s="1"/>
      <c r="S18" s="1"/>
      <c r="T18" s="6"/>
      <c r="U18" s="6"/>
      <c r="V18" s="6"/>
      <c r="W18" s="6"/>
      <c r="X18" s="6"/>
      <c r="Y18" s="6"/>
      <c r="Z18" s="62"/>
    </row>
    <row r="19" spans="1:26" ht="16.8">
      <c r="A19" s="6"/>
      <c r="B19" s="54"/>
      <c r="C19" s="6"/>
      <c r="D19" s="6"/>
      <c r="E19" s="6"/>
      <c r="F19" s="6"/>
      <c r="G19" s="6"/>
      <c r="H19" s="6"/>
      <c r="I19" s="6"/>
      <c r="J19" s="282"/>
      <c r="K19" s="277"/>
      <c r="L19" s="277"/>
      <c r="M19" s="277"/>
      <c r="N19" s="277"/>
      <c r="O19" s="83"/>
      <c r="P19" s="84"/>
      <c r="Q19" s="1"/>
      <c r="R19" s="1"/>
      <c r="S19" s="1"/>
      <c r="T19" s="6"/>
      <c r="U19" s="6"/>
      <c r="V19" s="6"/>
      <c r="W19" s="6"/>
      <c r="X19" s="6"/>
      <c r="Y19" s="6"/>
      <c r="Z19" s="6"/>
    </row>
    <row r="20" spans="1:26" ht="16.8">
      <c r="A20" s="6"/>
      <c r="B20" s="54"/>
      <c r="C20" s="6"/>
      <c r="D20" s="6"/>
      <c r="E20" s="6"/>
      <c r="F20" s="6"/>
      <c r="G20" s="6"/>
      <c r="H20" s="6"/>
      <c r="I20" s="1"/>
      <c r="J20" s="1"/>
      <c r="K20" s="1"/>
      <c r="L20" s="1"/>
      <c r="M20" s="1"/>
      <c r="N20" s="57"/>
      <c r="O20" s="57"/>
      <c r="P20" s="57"/>
      <c r="Q20" s="57"/>
      <c r="R20" s="57"/>
      <c r="S20" s="57"/>
      <c r="T20" s="57"/>
      <c r="U20" s="6"/>
      <c r="V20" s="6"/>
      <c r="W20" s="6"/>
      <c r="X20" s="6"/>
      <c r="Y20" s="6"/>
      <c r="Z20" s="6"/>
    </row>
    <row r="21" spans="1:26" ht="17.399999999999999">
      <c r="A21" s="6"/>
      <c r="B21" s="286" t="s">
        <v>120</v>
      </c>
      <c r="C21" s="273"/>
      <c r="D21" s="273"/>
      <c r="E21" s="273"/>
      <c r="F21" s="273"/>
      <c r="G21" s="273"/>
      <c r="H21" s="259"/>
      <c r="I21" s="6"/>
      <c r="J21" s="6"/>
      <c r="K21" s="6"/>
      <c r="L21" s="6"/>
      <c r="M21" s="6"/>
      <c r="N21" s="6"/>
      <c r="O21" s="6"/>
      <c r="P21" s="6"/>
      <c r="Q21" s="6"/>
      <c r="R21" s="6"/>
      <c r="S21" s="6"/>
      <c r="T21" s="6"/>
      <c r="U21" s="6"/>
      <c r="V21" s="6"/>
      <c r="W21" s="6"/>
      <c r="X21" s="6"/>
      <c r="Y21" s="6"/>
      <c r="Z21" s="6"/>
    </row>
    <row r="22" spans="1:26" ht="17.399999999999999">
      <c r="A22" s="6"/>
      <c r="B22" s="87" t="s">
        <v>29</v>
      </c>
      <c r="C22" s="87" t="s">
        <v>86</v>
      </c>
      <c r="D22" s="89" t="s">
        <v>122</v>
      </c>
      <c r="E22" s="87" t="s">
        <v>124</v>
      </c>
      <c r="F22" s="87" t="s">
        <v>11</v>
      </c>
      <c r="G22" s="87" t="s">
        <v>125</v>
      </c>
      <c r="H22" s="87" t="s">
        <v>88</v>
      </c>
      <c r="I22" s="6"/>
      <c r="J22" s="280" t="s">
        <v>126</v>
      </c>
      <c r="K22" s="273"/>
      <c r="L22" s="273"/>
      <c r="M22" s="273"/>
      <c r="N22" s="273"/>
      <c r="O22" s="273"/>
      <c r="P22" s="259"/>
      <c r="Q22" s="6"/>
      <c r="R22" s="6"/>
      <c r="S22" s="6"/>
      <c r="T22" s="6"/>
      <c r="U22" s="6"/>
      <c r="V22" s="6"/>
      <c r="W22" s="6"/>
      <c r="X22" s="6"/>
      <c r="Y22" s="6"/>
      <c r="Z22" s="6"/>
    </row>
    <row r="23" spans="1:26" ht="34.200000000000003">
      <c r="A23" s="6"/>
      <c r="B23" s="92">
        <v>1</v>
      </c>
      <c r="C23" s="93" t="s">
        <v>129</v>
      </c>
      <c r="D23" s="95" t="s">
        <v>131</v>
      </c>
      <c r="E23" s="95">
        <v>34350000</v>
      </c>
      <c r="F23" s="96">
        <v>2</v>
      </c>
      <c r="G23" s="95">
        <f t="shared" ref="G23:G30" si="1">E23*F23</f>
        <v>68700000</v>
      </c>
      <c r="H23" s="101" t="s">
        <v>140</v>
      </c>
      <c r="I23" s="102" t="s">
        <v>147</v>
      </c>
      <c r="J23" s="103" t="s">
        <v>29</v>
      </c>
      <c r="K23" s="103" t="s">
        <v>86</v>
      </c>
      <c r="L23" s="103" t="s">
        <v>124</v>
      </c>
      <c r="M23" s="103" t="s">
        <v>122</v>
      </c>
      <c r="N23" s="103" t="s">
        <v>11</v>
      </c>
      <c r="O23" s="103" t="s">
        <v>125</v>
      </c>
      <c r="P23" s="103" t="s">
        <v>151</v>
      </c>
      <c r="Q23" s="6"/>
      <c r="R23" s="6"/>
      <c r="S23" s="6"/>
      <c r="T23" s="6"/>
      <c r="U23" s="6"/>
      <c r="V23" s="6"/>
      <c r="W23" s="6"/>
      <c r="X23" s="6"/>
      <c r="Y23" s="6"/>
      <c r="Z23" s="6"/>
    </row>
    <row r="24" spans="1:26" ht="18">
      <c r="A24" s="6"/>
      <c r="B24" s="92">
        <v>2</v>
      </c>
      <c r="C24" s="105" t="s">
        <v>152</v>
      </c>
      <c r="D24" s="95" t="s">
        <v>131</v>
      </c>
      <c r="E24" s="95">
        <v>10600000</v>
      </c>
      <c r="F24" s="96">
        <v>2</v>
      </c>
      <c r="G24" s="107">
        <f t="shared" si="1"/>
        <v>21200000</v>
      </c>
      <c r="H24" s="113" t="s">
        <v>140</v>
      </c>
      <c r="I24" s="6"/>
      <c r="J24" s="114">
        <v>1</v>
      </c>
      <c r="K24" s="115" t="s">
        <v>163</v>
      </c>
      <c r="L24" s="116">
        <v>38500</v>
      </c>
      <c r="M24" s="114" t="s">
        <v>166</v>
      </c>
      <c r="N24" s="117">
        <v>150</v>
      </c>
      <c r="O24" s="116">
        <f t="shared" ref="O24:O28" si="2">L24*N24</f>
        <v>5775000</v>
      </c>
      <c r="P24" s="118" t="s">
        <v>92</v>
      </c>
      <c r="Q24" s="56"/>
      <c r="R24" s="6"/>
      <c r="S24" s="6"/>
      <c r="T24" s="6"/>
      <c r="U24" s="6"/>
      <c r="V24" s="6"/>
      <c r="W24" s="6"/>
      <c r="X24" s="6"/>
      <c r="Y24" s="6"/>
      <c r="Z24" s="6"/>
    </row>
    <row r="25" spans="1:26" ht="36">
      <c r="A25" s="6"/>
      <c r="B25" s="121">
        <v>3</v>
      </c>
      <c r="C25" s="122" t="s">
        <v>180</v>
      </c>
      <c r="D25" s="123" t="s">
        <v>182</v>
      </c>
      <c r="E25" s="123">
        <v>19000</v>
      </c>
      <c r="F25" s="121">
        <v>6</v>
      </c>
      <c r="G25" s="125">
        <f t="shared" si="1"/>
        <v>114000</v>
      </c>
      <c r="H25" s="128" t="s">
        <v>140</v>
      </c>
      <c r="I25" s="6"/>
      <c r="J25" s="114">
        <v>2</v>
      </c>
      <c r="K25" s="115" t="s">
        <v>190</v>
      </c>
      <c r="L25" s="116">
        <v>38500</v>
      </c>
      <c r="M25" s="114" t="s">
        <v>166</v>
      </c>
      <c r="N25" s="117">
        <v>150</v>
      </c>
      <c r="O25" s="116">
        <f t="shared" si="2"/>
        <v>5775000</v>
      </c>
      <c r="P25" s="118" t="s">
        <v>92</v>
      </c>
      <c r="Q25" s="6"/>
      <c r="R25" s="6"/>
      <c r="S25" s="6"/>
      <c r="T25" s="6"/>
      <c r="U25" s="6"/>
      <c r="V25" s="6"/>
      <c r="W25" s="6"/>
      <c r="X25" s="6"/>
      <c r="Y25" s="6"/>
      <c r="Z25" s="6"/>
    </row>
    <row r="26" spans="1:26" ht="36">
      <c r="A26" s="6"/>
      <c r="B26" s="96">
        <v>4</v>
      </c>
      <c r="C26" s="129" t="s">
        <v>191</v>
      </c>
      <c r="D26" s="130" t="s">
        <v>192</v>
      </c>
      <c r="E26" s="131">
        <v>150000</v>
      </c>
      <c r="F26" s="132">
        <v>2</v>
      </c>
      <c r="G26" s="130">
        <f t="shared" si="1"/>
        <v>300000</v>
      </c>
      <c r="H26" s="133" t="s">
        <v>140</v>
      </c>
      <c r="I26" s="6"/>
      <c r="J26" s="114">
        <v>3</v>
      </c>
      <c r="K26" s="115" t="s">
        <v>195</v>
      </c>
      <c r="L26" s="116">
        <v>25800</v>
      </c>
      <c r="M26" s="114" t="s">
        <v>166</v>
      </c>
      <c r="N26" s="117">
        <v>150</v>
      </c>
      <c r="O26" s="116">
        <f t="shared" si="2"/>
        <v>3870000</v>
      </c>
      <c r="P26" s="118" t="s">
        <v>92</v>
      </c>
      <c r="Q26" s="6"/>
      <c r="R26" s="6"/>
      <c r="S26" s="6"/>
      <c r="T26" s="6"/>
      <c r="U26" s="6"/>
      <c r="V26" s="6"/>
      <c r="W26" s="6"/>
      <c r="X26" s="6"/>
      <c r="Y26" s="6"/>
      <c r="Z26" s="6"/>
    </row>
    <row r="27" spans="1:26" ht="36">
      <c r="A27" s="6"/>
      <c r="B27" s="121">
        <v>5</v>
      </c>
      <c r="C27" s="134" t="s">
        <v>196</v>
      </c>
      <c r="D27" s="130" t="s">
        <v>197</v>
      </c>
      <c r="E27" s="131">
        <v>250000</v>
      </c>
      <c r="F27" s="132">
        <v>2</v>
      </c>
      <c r="G27" s="131">
        <f t="shared" si="1"/>
        <v>500000</v>
      </c>
      <c r="H27" s="101" t="s">
        <v>140</v>
      </c>
      <c r="I27" s="6"/>
      <c r="J27" s="114">
        <v>4</v>
      </c>
      <c r="K27" s="115" t="s">
        <v>200</v>
      </c>
      <c r="L27" s="116">
        <v>0</v>
      </c>
      <c r="M27" s="114"/>
      <c r="N27" s="117"/>
      <c r="O27" s="116">
        <f t="shared" si="2"/>
        <v>0</v>
      </c>
      <c r="P27" s="136"/>
      <c r="Q27" s="6"/>
      <c r="R27" s="6"/>
      <c r="S27" s="6"/>
      <c r="T27" s="6"/>
      <c r="U27" s="6"/>
      <c r="V27" s="6"/>
      <c r="W27" s="6"/>
      <c r="X27" s="6"/>
      <c r="Y27" s="6"/>
      <c r="Z27" s="6"/>
    </row>
    <row r="28" spans="1:26" ht="36">
      <c r="A28" s="6"/>
      <c r="B28" s="121">
        <v>6</v>
      </c>
      <c r="C28" s="137" t="s">
        <v>201</v>
      </c>
      <c r="D28" s="123" t="s">
        <v>197</v>
      </c>
      <c r="E28" s="123">
        <v>70000</v>
      </c>
      <c r="F28" s="121">
        <v>2</v>
      </c>
      <c r="G28" s="125">
        <f t="shared" si="1"/>
        <v>140000</v>
      </c>
      <c r="H28" s="128" t="s">
        <v>140</v>
      </c>
      <c r="I28" s="6"/>
      <c r="J28" s="114">
        <v>5</v>
      </c>
      <c r="K28" s="115" t="s">
        <v>202</v>
      </c>
      <c r="L28" s="116">
        <v>36000</v>
      </c>
      <c r="M28" s="114" t="s">
        <v>197</v>
      </c>
      <c r="N28" s="114">
        <v>3</v>
      </c>
      <c r="O28" s="116">
        <f t="shared" si="2"/>
        <v>108000</v>
      </c>
      <c r="P28" s="118" t="s">
        <v>92</v>
      </c>
      <c r="Q28" s="6"/>
      <c r="R28" s="6"/>
      <c r="S28" s="6"/>
      <c r="T28" s="6"/>
      <c r="U28" s="6"/>
      <c r="V28" s="6"/>
      <c r="W28" s="6"/>
      <c r="X28" s="6"/>
      <c r="Y28" s="6"/>
      <c r="Z28" s="6"/>
    </row>
    <row r="29" spans="1:26" ht="36">
      <c r="A29" s="6"/>
      <c r="B29" s="121">
        <v>7</v>
      </c>
      <c r="C29" s="137" t="s">
        <v>205</v>
      </c>
      <c r="D29" s="123" t="s">
        <v>192</v>
      </c>
      <c r="E29" s="123">
        <v>86000</v>
      </c>
      <c r="F29" s="121">
        <v>2</v>
      </c>
      <c r="G29" s="125">
        <f t="shared" si="1"/>
        <v>172000</v>
      </c>
      <c r="H29" s="128" t="s">
        <v>140</v>
      </c>
      <c r="I29" s="6"/>
      <c r="J29" s="287" t="s">
        <v>75</v>
      </c>
      <c r="K29" s="273"/>
      <c r="L29" s="273"/>
      <c r="M29" s="273"/>
      <c r="N29" s="259"/>
      <c r="O29" s="139">
        <f>SUM(O24:O28)</f>
        <v>15528000</v>
      </c>
      <c r="P29" s="140"/>
      <c r="Q29" s="6"/>
      <c r="R29" s="6"/>
      <c r="S29" s="6"/>
      <c r="T29" s="6"/>
      <c r="U29" s="6"/>
      <c r="V29" s="6"/>
      <c r="W29" s="6"/>
      <c r="X29" s="6"/>
      <c r="Y29" s="6"/>
      <c r="Z29" s="6"/>
    </row>
    <row r="30" spans="1:26" ht="18">
      <c r="A30" s="6"/>
      <c r="B30" s="121">
        <v>8</v>
      </c>
      <c r="C30" s="122" t="s">
        <v>208</v>
      </c>
      <c r="D30" s="123" t="s">
        <v>197</v>
      </c>
      <c r="E30" s="123">
        <v>28000</v>
      </c>
      <c r="F30" s="121">
        <v>2</v>
      </c>
      <c r="G30" s="125">
        <f t="shared" si="1"/>
        <v>56000</v>
      </c>
      <c r="H30" s="128" t="s">
        <v>140</v>
      </c>
      <c r="I30" s="6"/>
      <c r="J30" s="73"/>
      <c r="K30" s="141"/>
      <c r="L30" s="76"/>
      <c r="M30" s="73"/>
      <c r="N30" s="73"/>
      <c r="O30" s="77"/>
      <c r="P30" s="78"/>
      <c r="Q30" s="6"/>
      <c r="R30" s="6"/>
      <c r="S30" s="6"/>
      <c r="T30" s="6"/>
      <c r="U30" s="6"/>
      <c r="V30" s="6"/>
      <c r="W30" s="6"/>
      <c r="X30" s="6"/>
      <c r="Y30" s="6"/>
      <c r="Z30" s="6"/>
    </row>
    <row r="31" spans="1:26" ht="18">
      <c r="A31" s="6"/>
      <c r="B31" s="293" t="s">
        <v>75</v>
      </c>
      <c r="C31" s="290"/>
      <c r="D31" s="290"/>
      <c r="E31" s="290"/>
      <c r="F31" s="261"/>
      <c r="G31" s="142">
        <f>SUM(G22:G30)</f>
        <v>91182000</v>
      </c>
      <c r="H31" s="143"/>
      <c r="I31" s="6"/>
      <c r="J31" s="73"/>
      <c r="K31" s="144"/>
      <c r="L31" s="76"/>
      <c r="M31" s="145">
        <v>46065</v>
      </c>
      <c r="N31" s="146">
        <v>162.5</v>
      </c>
      <c r="O31" s="147">
        <f>N31*L24*2+N31*L26</f>
        <v>16705000</v>
      </c>
      <c r="P31" s="78"/>
      <c r="Q31" s="6"/>
      <c r="R31" s="6"/>
      <c r="S31" s="6"/>
      <c r="T31" s="6"/>
      <c r="U31" s="6"/>
      <c r="V31" s="6"/>
      <c r="W31" s="6"/>
      <c r="X31" s="6"/>
      <c r="Y31" s="6"/>
      <c r="Z31" s="6"/>
    </row>
    <row r="32" spans="1:26" ht="18">
      <c r="A32" s="6"/>
      <c r="B32" s="294"/>
      <c r="C32" s="290"/>
      <c r="D32" s="290"/>
      <c r="E32" s="290"/>
      <c r="F32" s="290"/>
      <c r="G32" s="148"/>
      <c r="H32" s="149"/>
      <c r="I32" s="6"/>
      <c r="J32" s="282"/>
      <c r="K32" s="277"/>
      <c r="L32" s="277"/>
      <c r="M32" s="277"/>
      <c r="N32" s="277"/>
      <c r="O32" s="83"/>
      <c r="P32" s="84"/>
      <c r="Q32" s="6"/>
      <c r="R32" s="6"/>
      <c r="S32" s="6"/>
      <c r="T32" s="6"/>
      <c r="U32" s="6"/>
      <c r="V32" s="6"/>
      <c r="W32" s="6"/>
      <c r="X32" s="6"/>
      <c r="Y32" s="6"/>
      <c r="Z32" s="6"/>
    </row>
    <row r="33" spans="1:26" ht="15" customHeight="1">
      <c r="A33" s="6"/>
      <c r="B33" s="54"/>
      <c r="C33" s="6"/>
      <c r="D33" s="6"/>
      <c r="E33" s="6"/>
      <c r="F33" s="6"/>
      <c r="G33" s="6"/>
      <c r="H33" s="6"/>
      <c r="I33" s="6"/>
      <c r="J33" s="6"/>
      <c r="K33" s="6"/>
      <c r="L33" s="6"/>
      <c r="M33" s="6"/>
      <c r="N33" s="57"/>
      <c r="O33" s="57"/>
      <c r="P33" s="57"/>
      <c r="Q33" s="57"/>
      <c r="R33" s="57"/>
      <c r="S33" s="57"/>
      <c r="T33" s="57"/>
      <c r="U33" s="6"/>
      <c r="V33" s="6"/>
      <c r="W33" s="6"/>
      <c r="X33" s="6"/>
      <c r="Y33" s="6"/>
      <c r="Z33" s="6"/>
    </row>
    <row r="34" spans="1:26" ht="15" customHeight="1">
      <c r="A34" s="6"/>
      <c r="B34" s="150"/>
      <c r="C34" s="62"/>
      <c r="D34" s="62"/>
      <c r="E34" s="62"/>
      <c r="F34" s="62"/>
      <c r="G34" s="62"/>
      <c r="H34" s="62"/>
      <c r="I34" s="62"/>
      <c r="J34" s="62"/>
      <c r="K34" s="62"/>
      <c r="L34" s="6"/>
      <c r="M34" s="6"/>
      <c r="N34" s="1"/>
      <c r="O34" s="1"/>
      <c r="P34" s="1"/>
      <c r="Q34" s="1"/>
      <c r="R34" s="1"/>
      <c r="S34" s="1"/>
      <c r="T34" s="1"/>
      <c r="U34" s="1"/>
      <c r="V34" s="1"/>
      <c r="W34" s="1"/>
      <c r="X34" s="1"/>
      <c r="Y34" s="1"/>
      <c r="Z34" s="1"/>
    </row>
    <row r="35" spans="1:26" ht="16.8">
      <c r="A35" s="6"/>
      <c r="B35" s="280" t="s">
        <v>209</v>
      </c>
      <c r="C35" s="273"/>
      <c r="D35" s="273"/>
      <c r="E35" s="273"/>
      <c r="F35" s="273"/>
      <c r="G35" s="273"/>
      <c r="H35" s="273"/>
      <c r="I35" s="273"/>
      <c r="J35" s="273"/>
      <c r="K35" s="259"/>
      <c r="L35" s="6"/>
      <c r="M35" s="6"/>
      <c r="Q35" s="57"/>
      <c r="R35" s="57"/>
      <c r="S35" s="57"/>
      <c r="T35" s="57"/>
      <c r="U35" s="1"/>
      <c r="V35" s="1"/>
      <c r="W35" s="1"/>
      <c r="X35" s="1"/>
      <c r="Y35" s="1"/>
      <c r="Z35" s="1"/>
    </row>
    <row r="36" spans="1:26" ht="16.8">
      <c r="A36" s="6"/>
      <c r="B36" s="36" t="s">
        <v>29</v>
      </c>
      <c r="C36" s="36" t="s">
        <v>86</v>
      </c>
      <c r="D36" s="36"/>
      <c r="E36" s="36" t="s">
        <v>210</v>
      </c>
      <c r="F36" s="36" t="s">
        <v>116</v>
      </c>
      <c r="G36" s="36" t="s">
        <v>141</v>
      </c>
      <c r="H36" s="36" t="s">
        <v>143</v>
      </c>
      <c r="I36" s="36" t="s">
        <v>144</v>
      </c>
      <c r="J36" s="36" t="s">
        <v>145</v>
      </c>
      <c r="K36" s="36" t="s">
        <v>88</v>
      </c>
      <c r="L36" s="6"/>
      <c r="M36" s="6"/>
      <c r="Q36" s="70"/>
      <c r="R36" s="70"/>
      <c r="S36" s="70"/>
      <c r="T36" s="70"/>
      <c r="U36" s="1"/>
      <c r="V36" s="1"/>
      <c r="W36" s="1"/>
      <c r="X36" s="1"/>
      <c r="Y36" s="1"/>
      <c r="Z36" s="1"/>
    </row>
    <row r="37" spans="1:26" ht="16.8">
      <c r="A37" s="6"/>
      <c r="B37" s="151" t="s">
        <v>211</v>
      </c>
      <c r="C37" s="152" t="s">
        <v>212</v>
      </c>
      <c r="D37" s="153"/>
      <c r="E37" s="153"/>
      <c r="F37" s="154"/>
      <c r="G37" s="154"/>
      <c r="H37" s="154"/>
      <c r="I37" s="154"/>
      <c r="J37" s="154"/>
      <c r="K37" s="155"/>
      <c r="L37" s="6"/>
      <c r="M37" s="6"/>
      <c r="Q37" s="73"/>
      <c r="R37" s="156"/>
      <c r="S37" s="77"/>
      <c r="T37" s="78"/>
      <c r="U37" s="71"/>
      <c r="V37" s="1"/>
      <c r="W37" s="1"/>
      <c r="X37" s="1"/>
      <c r="Y37" s="1"/>
      <c r="Z37" s="1"/>
    </row>
    <row r="38" spans="1:26" ht="16.8">
      <c r="A38" s="6"/>
      <c r="B38" s="157">
        <v>1</v>
      </c>
      <c r="C38" s="154" t="s">
        <v>213</v>
      </c>
      <c r="D38" s="158"/>
      <c r="E38" s="158">
        <f t="shared" ref="E38:E42" si="3">F6</f>
        <v>12350000.000000002</v>
      </c>
      <c r="F38" s="160">
        <f t="shared" ref="F38:F42" si="4">E38*12</f>
        <v>148200000.00000003</v>
      </c>
      <c r="G38" s="160">
        <f t="shared" ref="G38:J38" si="5">F38*(1+4%)</f>
        <v>154128000.00000003</v>
      </c>
      <c r="H38" s="160">
        <f t="shared" si="5"/>
        <v>160293120.00000003</v>
      </c>
      <c r="I38" s="160">
        <f t="shared" si="5"/>
        <v>166704844.80000004</v>
      </c>
      <c r="J38" s="160">
        <f t="shared" si="5"/>
        <v>173373038.59200004</v>
      </c>
      <c r="K38" s="161"/>
      <c r="L38" s="6"/>
      <c r="M38" s="6"/>
      <c r="Q38" s="73"/>
      <c r="R38" s="156"/>
      <c r="S38" s="77"/>
      <c r="T38" s="78"/>
      <c r="U38" s="1"/>
      <c r="V38" s="1"/>
      <c r="W38" s="1"/>
      <c r="X38" s="1"/>
      <c r="Y38" s="1"/>
      <c r="Z38" s="1"/>
    </row>
    <row r="39" spans="1:26" ht="16.8">
      <c r="A39" s="6"/>
      <c r="B39" s="157">
        <v>2</v>
      </c>
      <c r="C39" s="153" t="s">
        <v>214</v>
      </c>
      <c r="D39" s="158"/>
      <c r="E39" s="158">
        <f t="shared" si="3"/>
        <v>8645000</v>
      </c>
      <c r="F39" s="160">
        <f t="shared" si="4"/>
        <v>103740000</v>
      </c>
      <c r="G39" s="160">
        <f t="shared" ref="G39:J39" si="6">F39*(1+4%)</f>
        <v>107889600</v>
      </c>
      <c r="H39" s="160">
        <f t="shared" si="6"/>
        <v>112205184</v>
      </c>
      <c r="I39" s="160">
        <f t="shared" si="6"/>
        <v>116693391.36</v>
      </c>
      <c r="J39" s="160">
        <f t="shared" si="6"/>
        <v>121361127.01440001</v>
      </c>
      <c r="K39" s="161"/>
      <c r="L39" s="6"/>
      <c r="M39" s="6"/>
      <c r="Q39" s="73"/>
      <c r="R39" s="156"/>
      <c r="S39" s="77"/>
      <c r="T39" s="78"/>
      <c r="U39" s="1"/>
      <c r="V39" s="1"/>
      <c r="W39" s="1"/>
      <c r="X39" s="1"/>
      <c r="Y39" s="1"/>
      <c r="Z39" s="1"/>
    </row>
    <row r="40" spans="1:26" ht="16.8">
      <c r="A40" s="6"/>
      <c r="B40" s="157">
        <v>3</v>
      </c>
      <c r="C40" s="153" t="s">
        <v>215</v>
      </c>
      <c r="D40" s="158"/>
      <c r="E40" s="158">
        <f t="shared" si="3"/>
        <v>8645000</v>
      </c>
      <c r="F40" s="160">
        <f t="shared" si="4"/>
        <v>103740000</v>
      </c>
      <c r="G40" s="160">
        <f t="shared" ref="G40:J40" si="7">F40*(1+4%)</f>
        <v>107889600</v>
      </c>
      <c r="H40" s="160">
        <f t="shared" si="7"/>
        <v>112205184</v>
      </c>
      <c r="I40" s="160">
        <f t="shared" si="7"/>
        <v>116693391.36</v>
      </c>
      <c r="J40" s="160">
        <f t="shared" si="7"/>
        <v>121361127.01440001</v>
      </c>
      <c r="K40" s="161"/>
      <c r="L40" s="6"/>
      <c r="M40" s="6"/>
      <c r="Q40" s="73"/>
      <c r="R40" s="156"/>
      <c r="S40" s="77"/>
      <c r="T40" s="163"/>
      <c r="U40" s="1"/>
      <c r="V40" s="1"/>
      <c r="W40" s="1"/>
      <c r="X40" s="1"/>
      <c r="Y40" s="1"/>
      <c r="Z40" s="1"/>
    </row>
    <row r="41" spans="1:26" ht="16.8">
      <c r="A41" s="6"/>
      <c r="B41" s="157">
        <v>4</v>
      </c>
      <c r="C41" s="153" t="s">
        <v>217</v>
      </c>
      <c r="D41" s="158"/>
      <c r="E41" s="158">
        <f t="shared" si="3"/>
        <v>8027500.0000000009</v>
      </c>
      <c r="F41" s="160">
        <f t="shared" si="4"/>
        <v>96330000.000000015</v>
      </c>
      <c r="G41" s="160">
        <f t="shared" ref="G41:J41" si="8">F41*(1+4%)</f>
        <v>100183200.00000001</v>
      </c>
      <c r="H41" s="160">
        <f t="shared" si="8"/>
        <v>104190528.00000001</v>
      </c>
      <c r="I41" s="160">
        <f t="shared" si="8"/>
        <v>108358149.12000002</v>
      </c>
      <c r="J41" s="160">
        <f t="shared" si="8"/>
        <v>112692475.08480002</v>
      </c>
      <c r="K41" s="161"/>
      <c r="L41" s="6"/>
      <c r="M41" s="6"/>
      <c r="Q41" s="73"/>
      <c r="R41" s="73"/>
      <c r="S41" s="77"/>
      <c r="T41" s="78"/>
      <c r="U41" s="1"/>
      <c r="V41" s="1"/>
      <c r="W41" s="1"/>
      <c r="X41" s="1"/>
      <c r="Y41" s="1"/>
      <c r="Z41" s="1"/>
    </row>
    <row r="42" spans="1:26" ht="16.8">
      <c r="A42" s="6"/>
      <c r="B42" s="157">
        <v>5</v>
      </c>
      <c r="C42" s="153" t="s">
        <v>218</v>
      </c>
      <c r="D42" s="158"/>
      <c r="E42" s="158">
        <f t="shared" si="3"/>
        <v>8027500.0000000009</v>
      </c>
      <c r="F42" s="160">
        <f t="shared" si="4"/>
        <v>96330000.000000015</v>
      </c>
      <c r="G42" s="160">
        <f t="shared" ref="G42:J42" si="9">F42*(1+4%)</f>
        <v>100183200.00000001</v>
      </c>
      <c r="H42" s="160">
        <f t="shared" si="9"/>
        <v>104190528.00000001</v>
      </c>
      <c r="I42" s="160">
        <f t="shared" si="9"/>
        <v>108358149.12000002</v>
      </c>
      <c r="J42" s="160">
        <f t="shared" si="9"/>
        <v>112692475.08480002</v>
      </c>
      <c r="K42" s="161"/>
      <c r="L42" s="6"/>
      <c r="M42" s="6"/>
      <c r="Q42" s="70"/>
      <c r="R42" s="70"/>
      <c r="S42" s="83"/>
      <c r="T42" s="84"/>
      <c r="U42" s="1"/>
      <c r="V42" s="1"/>
      <c r="W42" s="1"/>
      <c r="X42" s="1"/>
      <c r="Y42" s="1"/>
      <c r="Z42" s="1"/>
    </row>
    <row r="43" spans="1:26" ht="16.8">
      <c r="A43" s="6"/>
      <c r="B43" s="164" t="s">
        <v>219</v>
      </c>
      <c r="C43" s="152" t="s">
        <v>220</v>
      </c>
      <c r="D43" s="154"/>
      <c r="E43" s="154"/>
      <c r="F43" s="154"/>
      <c r="G43" s="154"/>
      <c r="H43" s="154"/>
      <c r="I43" s="154"/>
      <c r="J43" s="154"/>
      <c r="K43" s="155"/>
      <c r="L43" s="62"/>
      <c r="M43" s="62"/>
      <c r="Q43" s="62"/>
      <c r="R43" s="165"/>
      <c r="S43" s="165"/>
      <c r="T43" s="165"/>
      <c r="U43" s="6"/>
      <c r="V43" s="6"/>
      <c r="W43" s="6"/>
      <c r="X43" s="6"/>
      <c r="Y43" s="6"/>
      <c r="Z43" s="6"/>
    </row>
    <row r="44" spans="1:26" ht="16.8">
      <c r="A44" s="6"/>
      <c r="B44" s="166">
        <v>6</v>
      </c>
      <c r="C44" s="154" t="s">
        <v>221</v>
      </c>
      <c r="D44" s="160"/>
      <c r="E44" s="160">
        <f>6000000*2</f>
        <v>12000000</v>
      </c>
      <c r="F44" s="160">
        <f>E44*12</f>
        <v>144000000</v>
      </c>
      <c r="G44" s="160">
        <f t="shared" ref="G44:J44" si="10">F44*(1+5%)</f>
        <v>151200000</v>
      </c>
      <c r="H44" s="167">
        <f t="shared" si="10"/>
        <v>158760000</v>
      </c>
      <c r="I44" s="167">
        <f t="shared" si="10"/>
        <v>166698000</v>
      </c>
      <c r="J44" s="167">
        <f t="shared" si="10"/>
        <v>175032900</v>
      </c>
      <c r="K44" s="161"/>
      <c r="L44" s="62"/>
      <c r="M44" s="62"/>
      <c r="N44" s="163"/>
      <c r="O44" s="163"/>
      <c r="P44" s="163"/>
      <c r="Q44" s="62"/>
      <c r="R44" s="168"/>
      <c r="S44" s="169"/>
      <c r="T44" s="169"/>
      <c r="U44" s="171"/>
      <c r="V44" s="171"/>
      <c r="W44" s="6"/>
      <c r="X44" s="6"/>
      <c r="Y44" s="6"/>
      <c r="Z44" s="6"/>
    </row>
    <row r="45" spans="1:26" ht="16.8">
      <c r="A45" s="6"/>
      <c r="B45" s="164" t="s">
        <v>223</v>
      </c>
      <c r="C45" s="154" t="s">
        <v>224</v>
      </c>
      <c r="D45" s="154"/>
      <c r="E45" s="154"/>
      <c r="F45" s="154"/>
      <c r="G45" s="154"/>
      <c r="H45" s="154"/>
      <c r="I45" s="154"/>
      <c r="J45" s="154"/>
      <c r="K45" s="161"/>
      <c r="L45" s="62"/>
      <c r="M45" s="62"/>
      <c r="N45" s="62"/>
      <c r="O45" s="173" t="s">
        <v>225</v>
      </c>
      <c r="P45" s="6"/>
      <c r="Q45" s="6"/>
      <c r="R45" s="174"/>
      <c r="S45" s="174"/>
      <c r="T45" s="174"/>
      <c r="U45" s="174"/>
      <c r="V45" s="171"/>
      <c r="W45" s="6"/>
      <c r="X45" s="6"/>
      <c r="Y45" s="6"/>
      <c r="Z45" s="6"/>
    </row>
    <row r="46" spans="1:26" ht="16.8">
      <c r="A46" s="6"/>
      <c r="B46" s="166">
        <v>7</v>
      </c>
      <c r="C46" s="154" t="s">
        <v>226</v>
      </c>
      <c r="D46" s="160"/>
      <c r="E46" s="160">
        <f>300000*2</f>
        <v>600000</v>
      </c>
      <c r="F46" s="167">
        <f t="shared" ref="F46:F48" si="11">E46*12</f>
        <v>7200000</v>
      </c>
      <c r="G46" s="167">
        <f t="shared" ref="G46:J46" si="12">F46*(1+5%)</f>
        <v>7560000</v>
      </c>
      <c r="H46" s="167">
        <f t="shared" si="12"/>
        <v>7938000</v>
      </c>
      <c r="I46" s="167">
        <f t="shared" si="12"/>
        <v>8334900</v>
      </c>
      <c r="J46" s="167">
        <f t="shared" si="12"/>
        <v>8751645</v>
      </c>
      <c r="K46" s="155"/>
      <c r="L46" s="62"/>
      <c r="M46" s="62"/>
      <c r="N46" s="62"/>
      <c r="O46" s="280" t="s">
        <v>230</v>
      </c>
      <c r="P46" s="273"/>
      <c r="Q46" s="259"/>
      <c r="R46" s="174"/>
      <c r="S46" s="174"/>
      <c r="T46" s="174"/>
      <c r="U46" s="174"/>
      <c r="V46" s="171"/>
      <c r="W46" s="6"/>
      <c r="X46" s="6"/>
      <c r="Y46" s="6"/>
      <c r="Z46" s="6"/>
    </row>
    <row r="47" spans="1:26" ht="16.8">
      <c r="A47" s="6"/>
      <c r="B47" s="166">
        <v>8</v>
      </c>
      <c r="C47" s="154" t="s">
        <v>232</v>
      </c>
      <c r="D47" s="160"/>
      <c r="E47" s="160">
        <f>75000*2</f>
        <v>150000</v>
      </c>
      <c r="F47" s="160">
        <f t="shared" si="11"/>
        <v>1800000</v>
      </c>
      <c r="G47" s="167">
        <f t="shared" ref="G47:J47" si="13">F47*(1+3%)</f>
        <v>1854000</v>
      </c>
      <c r="H47" s="167">
        <f t="shared" si="13"/>
        <v>1909620</v>
      </c>
      <c r="I47" s="167">
        <f t="shared" si="13"/>
        <v>1966908.6</v>
      </c>
      <c r="J47" s="167">
        <f t="shared" si="13"/>
        <v>2025915.8580000002</v>
      </c>
      <c r="K47" s="155"/>
      <c r="L47" s="62"/>
      <c r="M47" s="62"/>
      <c r="N47" s="62"/>
      <c r="O47" s="60" t="s">
        <v>29</v>
      </c>
      <c r="P47" s="23" t="s">
        <v>86</v>
      </c>
      <c r="Q47" s="23" t="s">
        <v>87</v>
      </c>
      <c r="R47" s="174"/>
      <c r="S47" s="174"/>
      <c r="T47" s="174"/>
      <c r="U47" s="174"/>
      <c r="V47" s="171"/>
      <c r="W47" s="6"/>
      <c r="X47" s="6"/>
      <c r="Y47" s="6"/>
      <c r="Z47" s="6"/>
    </row>
    <row r="48" spans="1:26" ht="16.8">
      <c r="A48" s="6"/>
      <c r="B48" s="166">
        <v>9</v>
      </c>
      <c r="C48" s="154" t="s">
        <v>234</v>
      </c>
      <c r="D48" s="160"/>
      <c r="E48" s="167">
        <f>150000*2</f>
        <v>300000</v>
      </c>
      <c r="F48" s="167">
        <f t="shared" si="11"/>
        <v>3600000</v>
      </c>
      <c r="G48" s="167">
        <f t="shared" ref="G48:J48" si="14">F48*(1+5%)</f>
        <v>3780000</v>
      </c>
      <c r="H48" s="167">
        <f t="shared" si="14"/>
        <v>3969000</v>
      </c>
      <c r="I48" s="167">
        <f t="shared" si="14"/>
        <v>4167450</v>
      </c>
      <c r="J48" s="167">
        <f t="shared" si="14"/>
        <v>4375822.5</v>
      </c>
      <c r="K48" s="161"/>
      <c r="L48" s="62"/>
      <c r="M48" s="62"/>
      <c r="N48" s="62"/>
      <c r="O48" s="117">
        <v>1</v>
      </c>
      <c r="P48" s="7" t="s">
        <v>237</v>
      </c>
      <c r="Q48" s="179">
        <v>500000</v>
      </c>
      <c r="R48" s="62"/>
      <c r="S48" s="62"/>
      <c r="T48" s="62"/>
      <c r="U48" s="62"/>
      <c r="V48" s="62"/>
      <c r="W48" s="6"/>
      <c r="X48" s="6"/>
      <c r="Y48" s="6"/>
      <c r="Z48" s="6"/>
    </row>
    <row r="49" spans="1:26" ht="16.8">
      <c r="K49" s="181"/>
      <c r="O49" s="117">
        <v>2</v>
      </c>
      <c r="P49" s="7" t="s">
        <v>85</v>
      </c>
      <c r="Q49" s="179">
        <f>E18</f>
        <v>150000</v>
      </c>
    </row>
    <row r="50" spans="1:26" ht="16.8">
      <c r="A50" s="62"/>
      <c r="B50" s="279" t="s">
        <v>75</v>
      </c>
      <c r="C50" s="259"/>
      <c r="D50" s="182"/>
      <c r="E50" s="182">
        <f t="shared" ref="E50:J50" si="15">SUM(E38:E48)</f>
        <v>58745000</v>
      </c>
      <c r="F50" s="182">
        <f t="shared" si="15"/>
        <v>704940000</v>
      </c>
      <c r="G50" s="182">
        <f t="shared" si="15"/>
        <v>734667600</v>
      </c>
      <c r="H50" s="182">
        <f t="shared" si="15"/>
        <v>765661164</v>
      </c>
      <c r="I50" s="182">
        <f t="shared" si="15"/>
        <v>797975184.36000013</v>
      </c>
      <c r="J50" s="182">
        <f t="shared" si="15"/>
        <v>831666526.14840007</v>
      </c>
      <c r="K50" s="189" t="s">
        <v>242</v>
      </c>
      <c r="L50" s="62"/>
      <c r="M50" s="62"/>
      <c r="N50" s="62"/>
      <c r="O50" s="117">
        <v>3</v>
      </c>
      <c r="P50" s="7" t="s">
        <v>120</v>
      </c>
      <c r="Q50" s="179">
        <f>G31</f>
        <v>91182000</v>
      </c>
      <c r="R50" s="62"/>
      <c r="S50" s="62"/>
      <c r="T50" s="62"/>
      <c r="U50" s="62"/>
      <c r="V50" s="62"/>
      <c r="W50" s="6"/>
      <c r="X50" s="6"/>
      <c r="Y50" s="6"/>
      <c r="Z50" s="6"/>
    </row>
    <row r="51" spans="1:26" ht="16.8">
      <c r="A51" s="62"/>
      <c r="B51" s="150"/>
      <c r="C51" s="62"/>
      <c r="D51" s="62"/>
      <c r="E51" s="62"/>
      <c r="F51" s="62"/>
      <c r="G51" s="62"/>
      <c r="H51" s="62"/>
      <c r="I51" s="62"/>
      <c r="J51" s="62"/>
      <c r="K51" s="62"/>
      <c r="L51" s="62"/>
      <c r="M51" s="62"/>
      <c r="N51" s="62"/>
      <c r="O51" s="283" t="s">
        <v>75</v>
      </c>
      <c r="P51" s="261"/>
      <c r="Q51" s="284">
        <f>SUM(Q48:Q50)</f>
        <v>91832000</v>
      </c>
      <c r="R51" s="62"/>
      <c r="S51" s="62"/>
      <c r="T51" s="62"/>
      <c r="U51" s="62"/>
      <c r="V51" s="62"/>
      <c r="W51" s="6"/>
      <c r="X51" s="6"/>
      <c r="Y51" s="6"/>
      <c r="Z51" s="6"/>
    </row>
    <row r="52" spans="1:26" ht="16.8">
      <c r="A52" s="62"/>
      <c r="B52" s="150"/>
      <c r="C52" s="62"/>
      <c r="D52" s="62"/>
      <c r="E52" s="62"/>
      <c r="F52" s="62"/>
      <c r="G52" s="62"/>
      <c r="H52" s="62"/>
      <c r="I52" s="62"/>
      <c r="J52" s="62"/>
      <c r="K52" s="62"/>
      <c r="L52" s="62"/>
      <c r="M52" s="62"/>
      <c r="N52" s="62"/>
      <c r="O52" s="264"/>
      <c r="P52" s="257"/>
      <c r="Q52" s="255"/>
      <c r="R52" s="62"/>
      <c r="S52" s="62"/>
      <c r="T52" s="62"/>
      <c r="U52" s="62"/>
      <c r="V52" s="62"/>
      <c r="W52" s="6"/>
      <c r="X52" s="6"/>
      <c r="Y52" s="6"/>
      <c r="Z52" s="6"/>
    </row>
    <row r="53" spans="1:26" ht="16.8">
      <c r="A53" s="6"/>
      <c r="B53" s="280" t="s">
        <v>253</v>
      </c>
      <c r="C53" s="273"/>
      <c r="D53" s="273"/>
      <c r="E53" s="273"/>
      <c r="F53" s="273"/>
      <c r="G53" s="273"/>
      <c r="H53" s="273"/>
      <c r="I53" s="273"/>
      <c r="J53" s="273"/>
      <c r="K53" s="259"/>
      <c r="L53" s="6"/>
      <c r="M53" s="6"/>
      <c r="N53" s="62"/>
      <c r="O53" s="163"/>
      <c r="P53" s="163"/>
      <c r="Q53" s="163"/>
      <c r="R53" s="62"/>
      <c r="S53" s="62"/>
      <c r="T53" s="62"/>
      <c r="U53" s="62"/>
      <c r="V53" s="62"/>
      <c r="W53" s="6"/>
      <c r="X53" s="6"/>
      <c r="Y53" s="6"/>
      <c r="Z53" s="6"/>
    </row>
    <row r="54" spans="1:26" ht="16.8">
      <c r="A54" s="6"/>
      <c r="B54" s="60" t="s">
        <v>29</v>
      </c>
      <c r="C54" s="60" t="s">
        <v>86</v>
      </c>
      <c r="D54" s="60" t="s">
        <v>104</v>
      </c>
      <c r="E54" s="191">
        <v>46065</v>
      </c>
      <c r="F54" s="60" t="s">
        <v>116</v>
      </c>
      <c r="G54" s="60" t="s">
        <v>141</v>
      </c>
      <c r="H54" s="60" t="s">
        <v>143</v>
      </c>
      <c r="I54" s="60" t="s">
        <v>144</v>
      </c>
      <c r="J54" s="60" t="s">
        <v>145</v>
      </c>
      <c r="K54" s="60" t="s">
        <v>88</v>
      </c>
      <c r="L54" s="6"/>
      <c r="M54" s="56"/>
      <c r="N54" s="62"/>
      <c r="O54" s="62"/>
      <c r="P54" s="62"/>
      <c r="Q54" s="62"/>
      <c r="R54" s="62"/>
      <c r="S54" s="62"/>
      <c r="T54" s="62"/>
      <c r="U54" s="62"/>
      <c r="V54" s="62"/>
      <c r="W54" s="6"/>
      <c r="X54" s="6"/>
      <c r="Y54" s="6"/>
      <c r="Z54" s="6"/>
    </row>
    <row r="55" spans="1:26" ht="16.8">
      <c r="A55" s="6"/>
      <c r="B55" s="117">
        <v>1</v>
      </c>
      <c r="C55" s="7" t="s">
        <v>258</v>
      </c>
      <c r="D55" s="192">
        <f>SUM(O24:O26)</f>
        <v>15420000</v>
      </c>
      <c r="E55" s="192">
        <f>O31</f>
        <v>16705000</v>
      </c>
      <c r="F55" s="192">
        <f>D55*12</f>
        <v>185040000</v>
      </c>
      <c r="G55" s="193">
        <f t="shared" ref="G55:J55" si="16">F55*(1+10%)</f>
        <v>203544000.00000003</v>
      </c>
      <c r="H55" s="193">
        <f t="shared" si="16"/>
        <v>223898400.00000006</v>
      </c>
      <c r="I55" s="193">
        <f t="shared" si="16"/>
        <v>246288240.00000009</v>
      </c>
      <c r="J55" s="193">
        <f t="shared" si="16"/>
        <v>270917064.00000012</v>
      </c>
      <c r="K55" s="12"/>
      <c r="L55" s="6"/>
      <c r="M55" s="6"/>
      <c r="N55" s="62"/>
      <c r="O55" s="62"/>
      <c r="P55" s="62"/>
      <c r="Q55" s="62"/>
      <c r="R55" s="62"/>
      <c r="S55" s="62"/>
      <c r="T55" s="62"/>
      <c r="U55" s="62"/>
      <c r="V55" s="62"/>
      <c r="W55" s="6"/>
      <c r="X55" s="6"/>
      <c r="Y55" s="6"/>
      <c r="Z55" s="6"/>
    </row>
    <row r="56" spans="1:26" ht="16.8">
      <c r="A56" s="6"/>
      <c r="B56" s="117">
        <v>2</v>
      </c>
      <c r="C56" s="7" t="s">
        <v>265</v>
      </c>
      <c r="D56" s="192">
        <f>3%*D55</f>
        <v>462600</v>
      </c>
      <c r="E56" s="192">
        <f>3%*E55</f>
        <v>501150</v>
      </c>
      <c r="F56" s="192">
        <f>(D56+(E56-D56))*12</f>
        <v>6013800</v>
      </c>
      <c r="G56" s="193">
        <f t="shared" ref="G56:J56" si="17">F56*(1+10%)</f>
        <v>6615180.0000000009</v>
      </c>
      <c r="H56" s="193">
        <f t="shared" si="17"/>
        <v>7276698.0000000019</v>
      </c>
      <c r="I56" s="193">
        <f t="shared" si="17"/>
        <v>8004367.8000000026</v>
      </c>
      <c r="J56" s="193">
        <f t="shared" si="17"/>
        <v>8804804.5800000038</v>
      </c>
      <c r="K56" s="12"/>
      <c r="L56" s="6"/>
      <c r="M56" s="6"/>
      <c r="N56" s="62"/>
      <c r="O56" s="62"/>
      <c r="P56" s="62"/>
      <c r="Q56" s="62"/>
      <c r="R56" s="62"/>
      <c r="S56" s="62"/>
      <c r="T56" s="62"/>
      <c r="U56" s="62"/>
      <c r="V56" s="62"/>
      <c r="W56" s="6"/>
      <c r="X56" s="6"/>
      <c r="Y56" s="6"/>
      <c r="Z56" s="6"/>
    </row>
    <row r="57" spans="1:26" ht="16.8">
      <c r="A57" s="6"/>
      <c r="B57" s="117">
        <v>3</v>
      </c>
      <c r="C57" s="7" t="s">
        <v>267</v>
      </c>
      <c r="D57" s="196">
        <v>500000</v>
      </c>
      <c r="E57" s="196">
        <v>500000</v>
      </c>
      <c r="F57" s="193">
        <f>D57*12</f>
        <v>6000000</v>
      </c>
      <c r="G57" s="193">
        <f t="shared" ref="G57:J57" si="18">F57*(1+10%)</f>
        <v>6600000.0000000009</v>
      </c>
      <c r="H57" s="193">
        <f t="shared" si="18"/>
        <v>7260000.0000000019</v>
      </c>
      <c r="I57" s="193">
        <f t="shared" si="18"/>
        <v>7986000.0000000028</v>
      </c>
      <c r="J57" s="193">
        <f t="shared" si="18"/>
        <v>8784600.0000000037</v>
      </c>
      <c r="K57" s="12"/>
      <c r="L57" s="6"/>
      <c r="M57" s="6"/>
      <c r="N57" s="62"/>
      <c r="O57" s="62"/>
      <c r="P57" s="62"/>
      <c r="Q57" s="62"/>
      <c r="R57" s="62"/>
      <c r="S57" s="62"/>
      <c r="T57" s="62"/>
      <c r="U57" s="62"/>
      <c r="V57" s="62"/>
      <c r="W57" s="6"/>
      <c r="X57" s="6"/>
      <c r="Y57" s="6"/>
      <c r="Z57" s="6"/>
    </row>
    <row r="58" spans="1:26" ht="16.8">
      <c r="A58" s="6"/>
      <c r="B58" s="117">
        <v>4</v>
      </c>
      <c r="C58" s="7" t="s">
        <v>268</v>
      </c>
      <c r="D58" s="179">
        <v>2000000</v>
      </c>
      <c r="E58" s="196"/>
      <c r="F58" s="193">
        <f>D58</f>
        <v>2000000</v>
      </c>
      <c r="G58" s="193"/>
      <c r="H58" s="193"/>
      <c r="I58" s="193"/>
      <c r="J58" s="193"/>
      <c r="K58" s="12"/>
      <c r="L58" s="6"/>
      <c r="M58" s="6"/>
      <c r="N58" s="62"/>
      <c r="O58" s="62"/>
      <c r="P58" s="62"/>
      <c r="Q58" s="62"/>
      <c r="R58" s="62"/>
      <c r="S58" s="62"/>
      <c r="T58" s="62"/>
      <c r="U58" s="62"/>
      <c r="V58" s="62"/>
      <c r="W58" s="6"/>
      <c r="X58" s="6"/>
      <c r="Y58" s="6"/>
      <c r="Z58" s="6"/>
    </row>
    <row r="59" spans="1:26" ht="16.8">
      <c r="A59" s="6"/>
      <c r="B59" s="279" t="s">
        <v>75</v>
      </c>
      <c r="C59" s="259"/>
      <c r="D59" s="197">
        <f t="shared" ref="D59:J59" si="19">SUM(D55:D58)</f>
        <v>18382600</v>
      </c>
      <c r="E59" s="197">
        <f t="shared" si="19"/>
        <v>17706150</v>
      </c>
      <c r="F59" s="197">
        <f t="shared" si="19"/>
        <v>199053800</v>
      </c>
      <c r="G59" s="197">
        <f t="shared" si="19"/>
        <v>216759180.00000003</v>
      </c>
      <c r="H59" s="197">
        <f t="shared" si="19"/>
        <v>238435098.00000006</v>
      </c>
      <c r="I59" s="197">
        <f t="shared" si="19"/>
        <v>262278607.8000001</v>
      </c>
      <c r="J59" s="197">
        <f t="shared" si="19"/>
        <v>288506468.5800001</v>
      </c>
      <c r="K59" s="198"/>
      <c r="L59" s="6"/>
      <c r="M59" s="6"/>
      <c r="N59" s="62"/>
      <c r="O59" s="62"/>
      <c r="P59" s="62"/>
      <c r="Q59" s="62"/>
      <c r="R59" s="62"/>
      <c r="S59" s="62"/>
      <c r="T59" s="62"/>
      <c r="U59" s="62"/>
      <c r="V59" s="62"/>
      <c r="W59" s="6"/>
      <c r="X59" s="6"/>
      <c r="Y59" s="6"/>
      <c r="Z59" s="6"/>
    </row>
    <row r="60" spans="1:26" ht="16.8">
      <c r="A60" s="6"/>
      <c r="B60" s="54"/>
      <c r="C60" s="6"/>
      <c r="D60" s="6"/>
      <c r="E60" s="6"/>
      <c r="F60" s="6"/>
      <c r="G60" s="6"/>
      <c r="H60" s="6"/>
      <c r="I60" s="6"/>
      <c r="J60" s="6"/>
      <c r="K60" s="6"/>
      <c r="L60" s="6"/>
      <c r="M60" s="6"/>
      <c r="N60" s="62"/>
      <c r="O60" s="62"/>
      <c r="P60" s="62"/>
      <c r="Q60" s="62"/>
      <c r="R60" s="62"/>
      <c r="S60" s="62"/>
      <c r="T60" s="62"/>
      <c r="U60" s="62"/>
      <c r="V60" s="62"/>
      <c r="W60" s="6"/>
      <c r="X60" s="6"/>
      <c r="Y60" s="6"/>
      <c r="Z60" s="6"/>
    </row>
    <row r="61" spans="1:26" ht="16.8">
      <c r="A61" s="6"/>
      <c r="B61" s="54"/>
      <c r="C61" s="6"/>
      <c r="D61" s="6"/>
      <c r="E61" s="6"/>
      <c r="F61" s="6"/>
      <c r="G61" s="6"/>
      <c r="H61" s="6"/>
      <c r="I61" s="6"/>
      <c r="J61" s="6"/>
      <c r="K61" s="6"/>
      <c r="L61" s="6"/>
      <c r="M61" s="6"/>
      <c r="N61" s="62"/>
      <c r="O61" s="62"/>
      <c r="P61" s="62"/>
      <c r="Q61" s="62"/>
      <c r="R61" s="62"/>
      <c r="S61" s="62"/>
      <c r="T61" s="62"/>
      <c r="U61" s="62"/>
      <c r="V61" s="62"/>
      <c r="W61" s="6"/>
      <c r="X61" s="6"/>
      <c r="Y61" s="6"/>
      <c r="Z61" s="6"/>
    </row>
    <row r="62" spans="1:26" ht="16.8">
      <c r="A62" s="6"/>
      <c r="B62" s="54"/>
      <c r="C62" s="6"/>
      <c r="D62" s="6"/>
      <c r="E62" s="6"/>
      <c r="F62" s="6"/>
      <c r="G62" s="6"/>
      <c r="H62" s="6"/>
      <c r="I62" s="6"/>
      <c r="J62" s="6"/>
      <c r="K62" s="6"/>
      <c r="L62" s="6"/>
      <c r="M62" s="6"/>
      <c r="N62" s="62"/>
      <c r="O62" s="62"/>
      <c r="P62" s="62"/>
      <c r="Q62" s="62"/>
      <c r="R62" s="62"/>
      <c r="S62" s="62"/>
      <c r="T62" s="62"/>
      <c r="U62" s="62"/>
      <c r="V62" s="62"/>
      <c r="W62" s="6"/>
      <c r="X62" s="6"/>
      <c r="Y62" s="6"/>
      <c r="Z62" s="6"/>
    </row>
    <row r="63" spans="1:26" ht="16.8">
      <c r="A63" s="6"/>
      <c r="B63" s="280" t="s">
        <v>270</v>
      </c>
      <c r="C63" s="273"/>
      <c r="D63" s="273"/>
      <c r="E63" s="273"/>
      <c r="F63" s="273"/>
      <c r="G63" s="273"/>
      <c r="H63" s="273"/>
      <c r="I63" s="273"/>
      <c r="J63" s="259"/>
      <c r="K63" s="6"/>
      <c r="L63" s="6"/>
      <c r="M63" s="6"/>
      <c r="N63" s="62"/>
      <c r="O63" s="62"/>
      <c r="P63" s="62"/>
      <c r="Q63" s="62"/>
      <c r="R63" s="62"/>
      <c r="S63" s="62"/>
      <c r="T63" s="62"/>
      <c r="U63" s="62"/>
      <c r="V63" s="62"/>
      <c r="W63" s="6"/>
      <c r="X63" s="6"/>
      <c r="Y63" s="6"/>
      <c r="Z63" s="6"/>
    </row>
    <row r="64" spans="1:26" ht="16.8">
      <c r="A64" s="6"/>
      <c r="B64" s="281" t="s">
        <v>272</v>
      </c>
      <c r="C64" s="281" t="s">
        <v>273</v>
      </c>
      <c r="D64" s="281"/>
      <c r="E64" s="281" t="s">
        <v>124</v>
      </c>
      <c r="F64" s="281" t="s">
        <v>116</v>
      </c>
      <c r="G64" s="281" t="s">
        <v>141</v>
      </c>
      <c r="H64" s="281" t="s">
        <v>143</v>
      </c>
      <c r="I64" s="281" t="s">
        <v>144</v>
      </c>
      <c r="J64" s="296" t="s">
        <v>145</v>
      </c>
      <c r="K64" s="6"/>
      <c r="L64" s="6"/>
      <c r="M64" s="6"/>
      <c r="N64" s="62"/>
      <c r="O64" s="62"/>
      <c r="P64" s="62"/>
      <c r="Q64" s="62"/>
      <c r="R64" s="62"/>
      <c r="S64" s="62"/>
      <c r="T64" s="62"/>
      <c r="U64" s="62"/>
      <c r="V64" s="62"/>
      <c r="W64" s="6"/>
      <c r="X64" s="6"/>
      <c r="Y64" s="6"/>
      <c r="Z64" s="6"/>
    </row>
    <row r="65" spans="1:26" ht="35.25" customHeight="1">
      <c r="A65" s="6"/>
      <c r="B65" s="255"/>
      <c r="C65" s="255"/>
      <c r="D65" s="255"/>
      <c r="E65" s="255"/>
      <c r="F65" s="255"/>
      <c r="G65" s="255"/>
      <c r="H65" s="255"/>
      <c r="I65" s="255"/>
      <c r="J65" s="255"/>
      <c r="K65" s="6"/>
      <c r="L65" s="6"/>
      <c r="M65" s="6"/>
      <c r="N65" s="62"/>
      <c r="O65" s="62"/>
      <c r="P65" s="62"/>
      <c r="Q65" s="62"/>
      <c r="R65" s="62"/>
      <c r="S65" s="62"/>
      <c r="T65" s="62"/>
      <c r="U65" s="62"/>
      <c r="V65" s="62"/>
      <c r="W65" s="6"/>
      <c r="X65" s="6"/>
      <c r="Y65" s="6"/>
      <c r="Z65" s="6"/>
    </row>
    <row r="66" spans="1:26" ht="16.8">
      <c r="A66" s="6"/>
      <c r="B66" s="117">
        <v>5</v>
      </c>
      <c r="C66" s="7" t="s">
        <v>276</v>
      </c>
      <c r="D66" s="12"/>
      <c r="E66" s="203">
        <f>G31</f>
        <v>91182000</v>
      </c>
      <c r="F66" s="203">
        <f t="shared" ref="F66:J66" si="20">$E$66/5</f>
        <v>18236400</v>
      </c>
      <c r="G66" s="203">
        <f t="shared" si="20"/>
        <v>18236400</v>
      </c>
      <c r="H66" s="203">
        <f t="shared" si="20"/>
        <v>18236400</v>
      </c>
      <c r="I66" s="203">
        <f t="shared" si="20"/>
        <v>18236400</v>
      </c>
      <c r="J66" s="203">
        <f t="shared" si="20"/>
        <v>18236400</v>
      </c>
      <c r="K66" s="6"/>
      <c r="L66" s="6"/>
      <c r="M66" s="6"/>
      <c r="N66" s="62"/>
      <c r="O66" s="62"/>
      <c r="P66" s="62"/>
      <c r="Q66" s="62"/>
      <c r="R66" s="62"/>
      <c r="S66" s="62"/>
      <c r="T66" s="62"/>
      <c r="U66" s="62"/>
      <c r="V66" s="62"/>
      <c r="W66" s="6"/>
      <c r="X66" s="6"/>
      <c r="Y66" s="6"/>
      <c r="Z66" s="6"/>
    </row>
    <row r="67" spans="1:26" ht="16.8">
      <c r="A67" s="6"/>
      <c r="B67" s="54"/>
      <c r="C67" s="6"/>
      <c r="D67" s="6"/>
      <c r="E67" s="6"/>
      <c r="F67" s="6"/>
      <c r="G67" s="6"/>
      <c r="H67" s="6"/>
      <c r="I67" s="6"/>
      <c r="J67" s="6"/>
      <c r="K67" s="6"/>
      <c r="L67" s="6"/>
      <c r="M67" s="6"/>
      <c r="N67" s="6"/>
      <c r="O67" s="6"/>
      <c r="P67" s="6"/>
      <c r="Q67" s="6"/>
      <c r="R67" s="6"/>
      <c r="S67" s="6"/>
      <c r="T67" s="6"/>
      <c r="U67" s="6"/>
      <c r="V67" s="6"/>
      <c r="W67" s="6"/>
      <c r="X67" s="6"/>
      <c r="Y67" s="6"/>
      <c r="Z67" s="6"/>
    </row>
    <row r="68" spans="1:26" ht="16.8">
      <c r="A68" s="6"/>
      <c r="B68" s="54"/>
      <c r="C68" s="6"/>
      <c r="D68" s="6"/>
      <c r="E68" s="6"/>
      <c r="F68" s="6"/>
      <c r="G68" s="6"/>
      <c r="H68" s="6"/>
      <c r="I68" s="6"/>
      <c r="J68" s="6"/>
      <c r="K68" s="6"/>
      <c r="L68" s="6"/>
      <c r="M68" s="6"/>
      <c r="N68" s="6"/>
      <c r="O68" s="6"/>
      <c r="P68" s="6"/>
      <c r="Q68" s="6"/>
      <c r="R68" s="6"/>
      <c r="S68" s="6"/>
      <c r="T68" s="6"/>
      <c r="U68" s="6"/>
      <c r="V68" s="6"/>
      <c r="W68" s="6"/>
      <c r="X68" s="6"/>
      <c r="Y68" s="6"/>
      <c r="Z68" s="6"/>
    </row>
    <row r="69" spans="1:26" ht="16.8">
      <c r="A69" s="6"/>
      <c r="B69" s="297" t="s">
        <v>279</v>
      </c>
      <c r="C69" s="273"/>
      <c r="D69" s="273"/>
      <c r="E69" s="273"/>
      <c r="F69" s="273"/>
      <c r="G69" s="273"/>
      <c r="H69" s="273"/>
      <c r="I69" s="273"/>
      <c r="J69" s="273"/>
      <c r="K69" s="273"/>
      <c r="L69" s="273"/>
      <c r="M69" s="273"/>
      <c r="N69" s="273"/>
      <c r="O69" s="273"/>
      <c r="P69" s="259"/>
      <c r="Q69" s="6"/>
      <c r="R69" s="6"/>
      <c r="S69" s="6"/>
      <c r="T69" s="6"/>
      <c r="U69" s="6"/>
      <c r="V69" s="6"/>
      <c r="W69" s="6"/>
      <c r="X69" s="6"/>
      <c r="Y69" s="6"/>
      <c r="Z69" s="6"/>
    </row>
    <row r="70" spans="1:26" ht="16.8">
      <c r="A70" s="6"/>
      <c r="B70" s="295" t="s">
        <v>29</v>
      </c>
      <c r="C70" s="298" t="s">
        <v>86</v>
      </c>
      <c r="D70" s="298"/>
      <c r="E70" s="298" t="s">
        <v>124</v>
      </c>
      <c r="F70" s="288" t="s">
        <v>116</v>
      </c>
      <c r="G70" s="259"/>
      <c r="H70" s="288" t="s">
        <v>141</v>
      </c>
      <c r="I70" s="259"/>
      <c r="J70" s="288" t="s">
        <v>143</v>
      </c>
      <c r="K70" s="259"/>
      <c r="L70" s="288" t="s">
        <v>144</v>
      </c>
      <c r="M70" s="259"/>
      <c r="N70" s="288" t="s">
        <v>145</v>
      </c>
      <c r="O70" s="259"/>
      <c r="P70" s="295" t="s">
        <v>88</v>
      </c>
      <c r="Q70" s="6"/>
      <c r="R70" s="6"/>
      <c r="S70" s="6"/>
      <c r="T70" s="6"/>
      <c r="U70" s="6"/>
      <c r="V70" s="6"/>
      <c r="W70" s="6"/>
      <c r="X70" s="6"/>
      <c r="Y70" s="6"/>
      <c r="Z70" s="6"/>
    </row>
    <row r="71" spans="1:26" ht="16.8">
      <c r="A71" s="6"/>
      <c r="B71" s="255"/>
      <c r="C71" s="255"/>
      <c r="D71" s="255"/>
      <c r="E71" s="255"/>
      <c r="F71" s="21" t="s">
        <v>11</v>
      </c>
      <c r="G71" s="21" t="s">
        <v>125</v>
      </c>
      <c r="H71" s="21" t="s">
        <v>11</v>
      </c>
      <c r="I71" s="21" t="s">
        <v>125</v>
      </c>
      <c r="J71" s="21" t="s">
        <v>11</v>
      </c>
      <c r="K71" s="21" t="s">
        <v>125</v>
      </c>
      <c r="L71" s="21" t="s">
        <v>11</v>
      </c>
      <c r="M71" s="21" t="s">
        <v>125</v>
      </c>
      <c r="N71" s="21" t="s">
        <v>11</v>
      </c>
      <c r="O71" s="21" t="s">
        <v>125</v>
      </c>
      <c r="P71" s="255"/>
      <c r="Q71" s="6"/>
      <c r="R71" s="6"/>
      <c r="S71" s="6"/>
      <c r="T71" s="6"/>
      <c r="U71" s="6"/>
      <c r="V71" s="6"/>
      <c r="W71" s="6"/>
      <c r="X71" s="6"/>
      <c r="Y71" s="6"/>
      <c r="Z71" s="6"/>
    </row>
    <row r="72" spans="1:26" ht="16.8">
      <c r="A72" s="6"/>
      <c r="B72" s="63">
        <v>1</v>
      </c>
      <c r="C72" s="212" t="s">
        <v>282</v>
      </c>
      <c r="D72" s="213"/>
      <c r="E72" s="213" t="s">
        <v>283</v>
      </c>
      <c r="F72" s="213" t="s">
        <v>284</v>
      </c>
      <c r="G72" s="179">
        <v>2500000</v>
      </c>
      <c r="H72" s="213" t="s">
        <v>285</v>
      </c>
      <c r="I72" s="179">
        <v>3500000</v>
      </c>
      <c r="J72" s="213" t="s">
        <v>286</v>
      </c>
      <c r="K72" s="179">
        <v>4500000</v>
      </c>
      <c r="L72" s="213" t="s">
        <v>287</v>
      </c>
      <c r="M72" s="179">
        <v>5000000</v>
      </c>
      <c r="N72" s="213" t="s">
        <v>288</v>
      </c>
      <c r="O72" s="179">
        <v>5500000</v>
      </c>
      <c r="P72" s="215" t="s">
        <v>289</v>
      </c>
      <c r="Q72" s="6"/>
      <c r="R72" s="6"/>
      <c r="S72" s="6"/>
      <c r="T72" s="6"/>
      <c r="U72" s="6"/>
      <c r="V72" s="6"/>
      <c r="W72" s="6"/>
      <c r="X72" s="6"/>
      <c r="Y72" s="6"/>
      <c r="Z72" s="6"/>
    </row>
    <row r="73" spans="1:26" ht="33.6">
      <c r="A73" s="6"/>
      <c r="B73" s="63">
        <v>2</v>
      </c>
      <c r="C73" s="212" t="s">
        <v>290</v>
      </c>
      <c r="D73" s="213"/>
      <c r="E73" s="213" t="s">
        <v>291</v>
      </c>
      <c r="F73" s="213" t="s">
        <v>292</v>
      </c>
      <c r="G73" s="179">
        <v>3500000</v>
      </c>
      <c r="H73" s="213" t="s">
        <v>293</v>
      </c>
      <c r="I73" s="179">
        <v>4000000</v>
      </c>
      <c r="J73" s="213" t="s">
        <v>294</v>
      </c>
      <c r="K73" s="179">
        <v>4500000</v>
      </c>
      <c r="L73" s="64" t="s">
        <v>295</v>
      </c>
      <c r="M73" s="179">
        <v>5000000</v>
      </c>
      <c r="N73" s="213" t="s">
        <v>295</v>
      </c>
      <c r="O73" s="179">
        <v>5000000</v>
      </c>
      <c r="P73" s="215" t="s">
        <v>289</v>
      </c>
      <c r="Q73" s="6"/>
      <c r="R73" s="6"/>
      <c r="S73" s="6"/>
      <c r="T73" s="6"/>
      <c r="U73" s="6"/>
      <c r="V73" s="6"/>
      <c r="W73" s="6"/>
      <c r="X73" s="6"/>
      <c r="Y73" s="6"/>
      <c r="Z73" s="6"/>
    </row>
    <row r="74" spans="1:26" ht="16.8">
      <c r="A74" s="6"/>
      <c r="B74" s="288" t="s">
        <v>75</v>
      </c>
      <c r="C74" s="259"/>
      <c r="D74" s="217"/>
      <c r="E74" s="217"/>
      <c r="F74" s="217"/>
      <c r="G74" s="79">
        <f>SUM(G72:G73)</f>
        <v>6000000</v>
      </c>
      <c r="H74" s="217"/>
      <c r="I74" s="79">
        <f>SUM(I72:I73)</f>
        <v>7500000</v>
      </c>
      <c r="J74" s="217"/>
      <c r="K74" s="79">
        <f>SUM(K72:K73)</f>
        <v>9000000</v>
      </c>
      <c r="L74" s="217"/>
      <c r="M74" s="79">
        <f>SUM(M72:M73)</f>
        <v>10000000</v>
      </c>
      <c r="N74" s="217"/>
      <c r="O74" s="79">
        <f>SUM(O72:O73)</f>
        <v>10500000</v>
      </c>
      <c r="P74" s="80"/>
      <c r="Q74" s="6"/>
      <c r="R74" s="6"/>
      <c r="S74" s="6"/>
      <c r="T74" s="6"/>
      <c r="U74" s="6"/>
      <c r="V74" s="6"/>
      <c r="W74" s="6"/>
      <c r="X74" s="6"/>
      <c r="Y74" s="6"/>
      <c r="Z74" s="6"/>
    </row>
    <row r="75" spans="1:26" ht="16.8">
      <c r="A75" s="6"/>
      <c r="B75" s="54"/>
      <c r="C75" s="6"/>
      <c r="D75" s="6"/>
      <c r="E75" s="6"/>
      <c r="F75" s="6"/>
      <c r="G75" s="6"/>
      <c r="H75" s="6"/>
      <c r="I75" s="6"/>
      <c r="J75" s="6"/>
      <c r="K75" s="6"/>
      <c r="L75" s="6"/>
      <c r="M75" s="6"/>
      <c r="N75" s="6"/>
      <c r="O75" s="6"/>
      <c r="P75" s="6"/>
      <c r="Q75" s="6"/>
      <c r="R75" s="6"/>
      <c r="S75" s="6"/>
      <c r="T75" s="6"/>
      <c r="U75" s="6"/>
      <c r="V75" s="6"/>
      <c r="W75" s="6"/>
      <c r="X75" s="6"/>
      <c r="Y75" s="6"/>
      <c r="Z75" s="6"/>
    </row>
    <row r="76" spans="1:26" ht="16.8">
      <c r="A76" s="6"/>
      <c r="B76" s="54"/>
      <c r="C76" s="6"/>
      <c r="D76" s="6"/>
      <c r="E76" s="6"/>
      <c r="F76" s="6"/>
      <c r="G76" s="6"/>
      <c r="H76" s="6"/>
      <c r="I76" s="6"/>
      <c r="J76" s="6"/>
      <c r="K76" s="6"/>
      <c r="L76" s="6"/>
      <c r="M76" s="6"/>
      <c r="N76" s="6"/>
      <c r="O76" s="6"/>
      <c r="P76" s="6"/>
      <c r="Q76" s="6"/>
      <c r="R76" s="6"/>
      <c r="S76" s="6"/>
      <c r="T76" s="6"/>
      <c r="U76" s="6"/>
      <c r="V76" s="6"/>
      <c r="W76" s="6"/>
      <c r="X76" s="6"/>
      <c r="Y76" s="6"/>
      <c r="Z76" s="6"/>
    </row>
    <row r="77" spans="1:26" ht="16.8">
      <c r="A77" s="6"/>
      <c r="B77" s="54"/>
      <c r="C77" s="6"/>
      <c r="D77" s="6"/>
      <c r="E77" s="6"/>
      <c r="F77" s="6"/>
      <c r="G77" s="6"/>
      <c r="H77" s="6"/>
      <c r="I77" s="6"/>
      <c r="J77" s="6"/>
      <c r="K77" s="6"/>
      <c r="L77" s="6"/>
      <c r="M77" s="6"/>
      <c r="N77" s="6"/>
      <c r="O77" s="6"/>
      <c r="P77" s="6"/>
      <c r="Q77" s="6"/>
      <c r="R77" s="6"/>
      <c r="S77" s="6"/>
      <c r="T77" s="6"/>
      <c r="U77" s="6"/>
      <c r="V77" s="6"/>
      <c r="W77" s="6"/>
      <c r="X77" s="6"/>
      <c r="Y77" s="6"/>
      <c r="Z77" s="6"/>
    </row>
    <row r="78" spans="1:26" ht="16.8">
      <c r="A78" s="6"/>
      <c r="B78" s="54"/>
      <c r="C78" s="6"/>
      <c r="D78" s="6"/>
      <c r="E78" s="6"/>
      <c r="F78" s="6"/>
      <c r="G78" s="6"/>
      <c r="H78" s="6"/>
      <c r="I78" s="6"/>
      <c r="J78" s="6"/>
      <c r="K78" s="6"/>
      <c r="L78" s="6"/>
      <c r="M78" s="6"/>
      <c r="N78" s="6"/>
      <c r="O78" s="6"/>
      <c r="P78" s="6"/>
      <c r="Q78" s="6"/>
      <c r="R78" s="6"/>
      <c r="S78" s="6"/>
      <c r="T78" s="6"/>
      <c r="U78" s="6"/>
      <c r="V78" s="6"/>
      <c r="W78" s="6"/>
      <c r="X78" s="6"/>
      <c r="Y78" s="6"/>
      <c r="Z78" s="6"/>
    </row>
    <row r="79" spans="1:26" ht="16.8">
      <c r="A79" s="6"/>
      <c r="B79" s="54"/>
      <c r="C79" s="6"/>
      <c r="D79" s="6"/>
      <c r="E79" s="6"/>
      <c r="F79" s="6"/>
      <c r="G79" s="6"/>
      <c r="H79" s="6"/>
      <c r="I79" s="6"/>
      <c r="J79" s="6"/>
      <c r="K79" s="6"/>
      <c r="L79" s="6"/>
      <c r="M79" s="6"/>
      <c r="N79" s="6"/>
      <c r="O79" s="6"/>
      <c r="P79" s="6"/>
      <c r="Q79" s="6"/>
      <c r="R79" s="6"/>
      <c r="S79" s="6"/>
      <c r="T79" s="6"/>
      <c r="U79" s="6"/>
      <c r="V79" s="6"/>
      <c r="W79" s="6"/>
      <c r="X79" s="6"/>
      <c r="Y79" s="6"/>
      <c r="Z79" s="6"/>
    </row>
    <row r="80" spans="1:26" ht="16.8">
      <c r="A80" s="6"/>
      <c r="B80" s="54"/>
      <c r="C80" s="6"/>
      <c r="D80" s="6"/>
      <c r="E80" s="6"/>
      <c r="F80" s="6"/>
      <c r="G80" s="6"/>
      <c r="H80" s="6"/>
      <c r="I80" s="6"/>
      <c r="J80" s="6"/>
      <c r="K80" s="6"/>
      <c r="L80" s="6"/>
      <c r="M80" s="6"/>
      <c r="N80" s="6"/>
      <c r="O80" s="6"/>
      <c r="P80" s="6"/>
      <c r="Q80" s="6"/>
      <c r="R80" s="6"/>
      <c r="S80" s="6"/>
      <c r="T80" s="6"/>
      <c r="U80" s="6"/>
      <c r="V80" s="6"/>
      <c r="W80" s="6"/>
      <c r="X80" s="6"/>
      <c r="Y80" s="6"/>
      <c r="Z80" s="6"/>
    </row>
    <row r="81" spans="1:26" ht="16.8">
      <c r="A81" s="6"/>
      <c r="B81" s="54"/>
      <c r="C81" s="6"/>
      <c r="D81" s="6"/>
      <c r="E81" s="6"/>
      <c r="F81" s="6"/>
      <c r="G81" s="6"/>
      <c r="H81" s="6"/>
      <c r="I81" s="6"/>
      <c r="J81" s="6"/>
      <c r="K81" s="6"/>
      <c r="L81" s="6"/>
      <c r="M81" s="6"/>
      <c r="N81" s="6"/>
      <c r="O81" s="6"/>
      <c r="P81" s="6"/>
      <c r="Q81" s="6"/>
      <c r="R81" s="6"/>
      <c r="S81" s="6"/>
      <c r="T81" s="6"/>
      <c r="U81" s="6"/>
      <c r="V81" s="6"/>
      <c r="W81" s="6"/>
      <c r="X81" s="6"/>
      <c r="Y81" s="6"/>
      <c r="Z81" s="6"/>
    </row>
    <row r="82" spans="1:26" ht="16.8">
      <c r="A82" s="6"/>
      <c r="B82" s="54"/>
      <c r="C82" s="6"/>
      <c r="D82" s="6"/>
      <c r="E82" s="6"/>
      <c r="F82" s="6"/>
      <c r="G82" s="6"/>
      <c r="H82" s="6"/>
      <c r="I82" s="6"/>
      <c r="J82" s="6"/>
      <c r="K82" s="6"/>
      <c r="L82" s="6"/>
      <c r="M82" s="6"/>
      <c r="N82" s="6"/>
      <c r="O82" s="6"/>
      <c r="P82" s="6"/>
      <c r="Q82" s="6"/>
      <c r="R82" s="6"/>
      <c r="S82" s="6"/>
      <c r="T82" s="6"/>
      <c r="U82" s="6"/>
      <c r="V82" s="6"/>
      <c r="W82" s="6"/>
      <c r="X82" s="6"/>
      <c r="Y82" s="6"/>
      <c r="Z82" s="6"/>
    </row>
    <row r="83" spans="1:26" ht="16.8">
      <c r="A83" s="6"/>
      <c r="B83" s="54"/>
      <c r="C83" s="6"/>
      <c r="D83" s="6"/>
      <c r="E83" s="6"/>
      <c r="F83" s="6"/>
      <c r="G83" s="6"/>
      <c r="H83" s="6"/>
      <c r="I83" s="6"/>
      <c r="J83" s="6"/>
      <c r="K83" s="6"/>
      <c r="L83" s="6"/>
      <c r="M83" s="6"/>
      <c r="N83" s="6"/>
      <c r="O83" s="6"/>
      <c r="P83" s="6"/>
      <c r="Q83" s="6"/>
      <c r="R83" s="6"/>
      <c r="S83" s="6"/>
      <c r="T83" s="6"/>
      <c r="U83" s="6"/>
      <c r="V83" s="6"/>
      <c r="W83" s="6"/>
      <c r="X83" s="6"/>
      <c r="Y83" s="6"/>
      <c r="Z83" s="6"/>
    </row>
    <row r="84" spans="1:26" ht="16.8">
      <c r="A84" s="6"/>
      <c r="B84" s="54"/>
      <c r="C84" s="6"/>
      <c r="D84" s="6"/>
      <c r="E84" s="6"/>
      <c r="F84" s="6"/>
      <c r="G84" s="6"/>
      <c r="H84" s="6"/>
      <c r="I84" s="6"/>
      <c r="J84" s="6"/>
      <c r="K84" s="6"/>
      <c r="L84" s="6"/>
      <c r="M84" s="6"/>
      <c r="N84" s="6"/>
      <c r="O84" s="6"/>
      <c r="P84" s="6"/>
      <c r="Q84" s="6"/>
      <c r="R84" s="6"/>
      <c r="S84" s="6"/>
      <c r="T84" s="6"/>
      <c r="U84" s="6"/>
      <c r="V84" s="6"/>
      <c r="W84" s="6"/>
      <c r="X84" s="6"/>
      <c r="Y84" s="6"/>
      <c r="Z84" s="6"/>
    </row>
    <row r="85" spans="1:26" ht="16.8">
      <c r="A85" s="6"/>
      <c r="B85" s="54"/>
      <c r="C85" s="6"/>
      <c r="D85" s="6"/>
      <c r="E85" s="6"/>
      <c r="F85" s="6"/>
      <c r="G85" s="6"/>
      <c r="H85" s="6"/>
      <c r="I85" s="6"/>
      <c r="J85" s="6"/>
      <c r="K85" s="6"/>
      <c r="L85" s="6"/>
      <c r="M85" s="6"/>
      <c r="N85" s="6"/>
      <c r="O85" s="6"/>
      <c r="P85" s="6"/>
      <c r="Q85" s="6"/>
      <c r="R85" s="6"/>
      <c r="S85" s="6"/>
      <c r="T85" s="6"/>
      <c r="U85" s="6"/>
      <c r="V85" s="6"/>
      <c r="W85" s="6"/>
      <c r="X85" s="6"/>
      <c r="Y85" s="6"/>
      <c r="Z85" s="6"/>
    </row>
    <row r="86" spans="1:26" ht="16.8">
      <c r="A86" s="6"/>
      <c r="B86" s="54"/>
      <c r="C86" s="6"/>
      <c r="D86" s="6"/>
      <c r="E86" s="6"/>
      <c r="F86" s="6"/>
      <c r="G86" s="6"/>
      <c r="H86" s="6"/>
      <c r="I86" s="6"/>
      <c r="J86" s="6"/>
      <c r="K86" s="6"/>
      <c r="L86" s="6"/>
      <c r="M86" s="6"/>
      <c r="N86" s="6"/>
      <c r="O86" s="6"/>
      <c r="P86" s="6"/>
      <c r="Q86" s="6"/>
      <c r="R86" s="6"/>
      <c r="S86" s="6"/>
      <c r="T86" s="6"/>
      <c r="U86" s="6"/>
      <c r="V86" s="6"/>
      <c r="W86" s="6"/>
      <c r="X86" s="6"/>
      <c r="Y86" s="6"/>
      <c r="Z86" s="6"/>
    </row>
    <row r="87" spans="1:26" ht="16.8">
      <c r="A87" s="6"/>
      <c r="B87" s="54"/>
      <c r="C87" s="6"/>
      <c r="D87" s="6"/>
      <c r="E87" s="6"/>
      <c r="F87" s="6"/>
      <c r="G87" s="6"/>
      <c r="H87" s="6"/>
      <c r="I87" s="6"/>
      <c r="J87" s="6"/>
      <c r="K87" s="6"/>
      <c r="L87" s="6"/>
      <c r="M87" s="6"/>
      <c r="N87" s="6"/>
      <c r="O87" s="6"/>
      <c r="P87" s="6"/>
      <c r="Q87" s="6"/>
      <c r="R87" s="6"/>
      <c r="S87" s="6"/>
      <c r="T87" s="6"/>
      <c r="U87" s="6"/>
      <c r="V87" s="6"/>
      <c r="W87" s="6"/>
      <c r="X87" s="6"/>
      <c r="Y87" s="6"/>
      <c r="Z87" s="6"/>
    </row>
    <row r="88" spans="1:26" ht="16.8">
      <c r="A88" s="6"/>
      <c r="B88" s="54"/>
      <c r="C88" s="6"/>
      <c r="D88" s="6"/>
      <c r="E88" s="6"/>
      <c r="F88" s="6"/>
      <c r="G88" s="6"/>
      <c r="H88" s="6"/>
      <c r="I88" s="6"/>
      <c r="J88" s="6"/>
      <c r="K88" s="6"/>
      <c r="L88" s="6"/>
      <c r="M88" s="6"/>
      <c r="N88" s="6"/>
      <c r="O88" s="6"/>
      <c r="P88" s="6"/>
      <c r="Q88" s="6"/>
      <c r="R88" s="6"/>
      <c r="S88" s="6"/>
      <c r="T88" s="6"/>
      <c r="U88" s="6"/>
      <c r="V88" s="6"/>
      <c r="W88" s="6"/>
      <c r="X88" s="6"/>
      <c r="Y88" s="6"/>
      <c r="Z88" s="6"/>
    </row>
    <row r="89" spans="1:26" ht="16.8">
      <c r="A89" s="6"/>
      <c r="B89" s="54"/>
      <c r="C89" s="6"/>
      <c r="D89" s="6"/>
      <c r="E89" s="6"/>
      <c r="F89" s="6"/>
      <c r="G89" s="6"/>
      <c r="H89" s="6"/>
      <c r="I89" s="6"/>
      <c r="J89" s="6"/>
      <c r="K89" s="6"/>
      <c r="L89" s="6"/>
      <c r="M89" s="6"/>
      <c r="N89" s="6"/>
      <c r="O89" s="6"/>
      <c r="P89" s="6"/>
      <c r="Q89" s="6"/>
      <c r="R89" s="6"/>
      <c r="S89" s="6"/>
      <c r="T89" s="6"/>
      <c r="U89" s="6"/>
      <c r="V89" s="6"/>
      <c r="W89" s="6"/>
      <c r="X89" s="6"/>
      <c r="Y89" s="6"/>
      <c r="Z89" s="6"/>
    </row>
    <row r="90" spans="1:26" ht="16.8">
      <c r="A90" s="6"/>
      <c r="B90" s="54"/>
      <c r="C90" s="6"/>
      <c r="D90" s="6"/>
      <c r="E90" s="6"/>
      <c r="F90" s="6"/>
      <c r="G90" s="6"/>
      <c r="H90" s="6"/>
      <c r="I90" s="6"/>
      <c r="J90" s="6"/>
      <c r="K90" s="6"/>
      <c r="L90" s="6"/>
      <c r="M90" s="6"/>
      <c r="N90" s="6"/>
      <c r="O90" s="6"/>
      <c r="P90" s="6"/>
      <c r="Q90" s="6"/>
      <c r="R90" s="6"/>
      <c r="S90" s="6"/>
      <c r="T90" s="6"/>
      <c r="U90" s="6"/>
      <c r="V90" s="6"/>
      <c r="W90" s="6"/>
      <c r="X90" s="6"/>
      <c r="Y90" s="6"/>
      <c r="Z90" s="6"/>
    </row>
    <row r="91" spans="1:26" ht="16.8">
      <c r="A91" s="6"/>
      <c r="B91" s="54"/>
      <c r="C91" s="6"/>
      <c r="D91" s="6"/>
      <c r="E91" s="6"/>
      <c r="F91" s="6"/>
      <c r="G91" s="6"/>
      <c r="H91" s="6"/>
      <c r="I91" s="6"/>
      <c r="J91" s="6"/>
      <c r="K91" s="6"/>
      <c r="L91" s="6"/>
      <c r="M91" s="6"/>
      <c r="N91" s="6"/>
      <c r="O91" s="6"/>
      <c r="P91" s="6"/>
      <c r="Q91" s="6"/>
      <c r="R91" s="6"/>
      <c r="S91" s="6"/>
      <c r="T91" s="6"/>
      <c r="U91" s="6"/>
      <c r="V91" s="6"/>
      <c r="W91" s="6"/>
      <c r="X91" s="6"/>
      <c r="Y91" s="6"/>
      <c r="Z91" s="6"/>
    </row>
    <row r="92" spans="1:26" ht="16.8">
      <c r="A92" s="6"/>
      <c r="B92" s="54"/>
      <c r="C92" s="6"/>
      <c r="D92" s="6"/>
      <c r="E92" s="6"/>
      <c r="F92" s="6"/>
      <c r="G92" s="6"/>
      <c r="H92" s="6"/>
      <c r="I92" s="6"/>
      <c r="J92" s="6"/>
      <c r="K92" s="6"/>
      <c r="L92" s="6"/>
      <c r="M92" s="6"/>
      <c r="N92" s="6"/>
      <c r="O92" s="6"/>
      <c r="P92" s="6"/>
      <c r="Q92" s="6"/>
      <c r="R92" s="6"/>
      <c r="S92" s="6"/>
      <c r="T92" s="6"/>
      <c r="U92" s="6"/>
      <c r="V92" s="6"/>
      <c r="W92" s="6"/>
      <c r="X92" s="6"/>
      <c r="Y92" s="6"/>
      <c r="Z92" s="6"/>
    </row>
    <row r="93" spans="1:26" ht="16.8">
      <c r="A93" s="6"/>
      <c r="B93" s="54"/>
      <c r="C93" s="6"/>
      <c r="D93" s="6"/>
      <c r="E93" s="6"/>
      <c r="F93" s="6"/>
      <c r="G93" s="6"/>
      <c r="H93" s="6"/>
      <c r="I93" s="6"/>
      <c r="J93" s="6"/>
      <c r="K93" s="6"/>
      <c r="L93" s="6"/>
      <c r="M93" s="6"/>
      <c r="N93" s="6"/>
      <c r="O93" s="6"/>
      <c r="P93" s="6"/>
      <c r="Q93" s="6"/>
      <c r="R93" s="6"/>
      <c r="S93" s="6"/>
      <c r="T93" s="6"/>
      <c r="U93" s="6"/>
      <c r="V93" s="6"/>
      <c r="W93" s="6"/>
      <c r="X93" s="6"/>
      <c r="Y93" s="6"/>
      <c r="Z93" s="6"/>
    </row>
    <row r="94" spans="1:26" ht="16.8">
      <c r="A94" s="6"/>
      <c r="B94" s="54"/>
      <c r="C94" s="6"/>
      <c r="D94" s="6"/>
      <c r="E94" s="6"/>
      <c r="F94" s="6"/>
      <c r="G94" s="6"/>
      <c r="H94" s="6"/>
      <c r="I94" s="6"/>
      <c r="J94" s="6"/>
      <c r="K94" s="6"/>
      <c r="L94" s="6"/>
      <c r="M94" s="6"/>
      <c r="N94" s="6"/>
      <c r="O94" s="6"/>
      <c r="P94" s="6"/>
      <c r="Q94" s="6"/>
      <c r="R94" s="6"/>
      <c r="S94" s="6"/>
      <c r="T94" s="6"/>
      <c r="U94" s="6"/>
      <c r="V94" s="6"/>
      <c r="W94" s="6"/>
      <c r="X94" s="6"/>
      <c r="Y94" s="6"/>
      <c r="Z94" s="6"/>
    </row>
    <row r="95" spans="1:26" ht="16.8">
      <c r="A95" s="6"/>
      <c r="B95" s="54"/>
      <c r="C95" s="6"/>
      <c r="D95" s="6"/>
      <c r="E95" s="6"/>
      <c r="F95" s="6"/>
      <c r="G95" s="6"/>
      <c r="H95" s="6"/>
      <c r="I95" s="6"/>
      <c r="J95" s="6"/>
      <c r="K95" s="6"/>
      <c r="L95" s="6"/>
      <c r="M95" s="6"/>
      <c r="N95" s="6"/>
      <c r="O95" s="6"/>
      <c r="P95" s="6"/>
      <c r="Q95" s="6"/>
      <c r="R95" s="6"/>
      <c r="S95" s="6"/>
      <c r="T95" s="6"/>
      <c r="U95" s="6"/>
      <c r="V95" s="6"/>
      <c r="W95" s="6"/>
      <c r="X95" s="6"/>
      <c r="Y95" s="6"/>
      <c r="Z95" s="6"/>
    </row>
    <row r="96" spans="1:26" ht="16.8">
      <c r="A96" s="6"/>
      <c r="B96" s="54"/>
      <c r="C96" s="6"/>
      <c r="D96" s="6"/>
      <c r="E96" s="6"/>
      <c r="F96" s="6"/>
      <c r="G96" s="6"/>
      <c r="H96" s="6"/>
      <c r="I96" s="6"/>
      <c r="J96" s="6"/>
      <c r="K96" s="6"/>
      <c r="L96" s="6"/>
      <c r="M96" s="6"/>
      <c r="N96" s="6"/>
      <c r="O96" s="6"/>
      <c r="P96" s="6"/>
      <c r="Q96" s="6"/>
      <c r="R96" s="6"/>
      <c r="S96" s="6"/>
      <c r="T96" s="6"/>
      <c r="U96" s="6"/>
      <c r="V96" s="6"/>
      <c r="W96" s="6"/>
      <c r="X96" s="6"/>
      <c r="Y96" s="6"/>
      <c r="Z96" s="6"/>
    </row>
    <row r="97" spans="1:26" ht="16.8">
      <c r="A97" s="6"/>
      <c r="B97" s="54"/>
      <c r="C97" s="6"/>
      <c r="D97" s="6"/>
      <c r="E97" s="6"/>
      <c r="F97" s="6"/>
      <c r="G97" s="6"/>
      <c r="H97" s="6"/>
      <c r="I97" s="6"/>
      <c r="J97" s="6"/>
      <c r="K97" s="6"/>
      <c r="L97" s="6"/>
      <c r="M97" s="6"/>
      <c r="N97" s="6"/>
      <c r="O97" s="6"/>
      <c r="P97" s="6"/>
      <c r="Q97" s="6"/>
      <c r="R97" s="6"/>
      <c r="S97" s="6"/>
      <c r="T97" s="6"/>
      <c r="U97" s="6"/>
      <c r="V97" s="6"/>
      <c r="W97" s="6"/>
      <c r="X97" s="6"/>
      <c r="Y97" s="6"/>
      <c r="Z97" s="6"/>
    </row>
    <row r="98" spans="1:26" ht="16.8">
      <c r="A98" s="6"/>
      <c r="B98" s="54"/>
      <c r="C98" s="6"/>
      <c r="D98" s="6"/>
      <c r="E98" s="6"/>
      <c r="F98" s="6"/>
      <c r="G98" s="6"/>
      <c r="H98" s="6"/>
      <c r="I98" s="6"/>
      <c r="J98" s="6"/>
      <c r="K98" s="6"/>
      <c r="L98" s="6"/>
      <c r="M98" s="6"/>
      <c r="N98" s="6"/>
      <c r="O98" s="6"/>
      <c r="P98" s="6"/>
      <c r="Q98" s="6"/>
      <c r="R98" s="6"/>
      <c r="S98" s="6"/>
      <c r="T98" s="6"/>
      <c r="U98" s="6"/>
      <c r="V98" s="6"/>
      <c r="W98" s="6"/>
      <c r="X98" s="6"/>
      <c r="Y98" s="6"/>
      <c r="Z98" s="6"/>
    </row>
    <row r="99" spans="1:26" ht="16.8">
      <c r="A99" s="6"/>
      <c r="B99" s="54"/>
      <c r="C99" s="6"/>
      <c r="D99" s="6"/>
      <c r="E99" s="6"/>
      <c r="F99" s="6"/>
      <c r="G99" s="6"/>
      <c r="H99" s="6"/>
      <c r="I99" s="6"/>
      <c r="J99" s="6"/>
      <c r="K99" s="6"/>
      <c r="L99" s="6"/>
      <c r="M99" s="6"/>
      <c r="N99" s="6"/>
      <c r="O99" s="6"/>
      <c r="P99" s="6"/>
      <c r="Q99" s="6"/>
      <c r="R99" s="6"/>
      <c r="S99" s="6"/>
      <c r="T99" s="6"/>
      <c r="U99" s="6"/>
      <c r="V99" s="6"/>
      <c r="W99" s="6"/>
      <c r="X99" s="6"/>
      <c r="Y99" s="6"/>
      <c r="Z99" s="6"/>
    </row>
    <row r="100" spans="1:26" ht="16.8">
      <c r="A100" s="6"/>
      <c r="B100" s="54"/>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6.8">
      <c r="A101" s="6"/>
      <c r="B101" s="54"/>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6.8">
      <c r="A102" s="6"/>
      <c r="B102" s="54"/>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6.8">
      <c r="A103" s="6"/>
      <c r="B103" s="54"/>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6.8">
      <c r="A104" s="6"/>
      <c r="B104" s="54"/>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6.8">
      <c r="A105" s="6"/>
      <c r="B105" s="54"/>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6.8">
      <c r="A106" s="6"/>
      <c r="B106" s="54"/>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6.8">
      <c r="A107" s="6"/>
      <c r="B107" s="54"/>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6.8">
      <c r="A108" s="6"/>
      <c r="B108" s="54"/>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6.8">
      <c r="A109" s="6"/>
      <c r="B109" s="54"/>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6.8">
      <c r="A110" s="6"/>
      <c r="B110" s="54"/>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6.8">
      <c r="A111" s="6"/>
      <c r="B111" s="54"/>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6.8">
      <c r="A112" s="6"/>
      <c r="B112" s="54"/>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6.8">
      <c r="A113" s="6"/>
      <c r="B113" s="54"/>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6.8">
      <c r="A114" s="6"/>
      <c r="B114" s="54"/>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6.8">
      <c r="A115" s="6"/>
      <c r="B115" s="54"/>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6.8">
      <c r="A116" s="6"/>
      <c r="B116" s="54"/>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6.8">
      <c r="A117" s="6"/>
      <c r="B117" s="54"/>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6.8">
      <c r="A118" s="6"/>
      <c r="B118" s="54"/>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6.8">
      <c r="A119" s="6"/>
      <c r="B119" s="54"/>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6.8">
      <c r="A120" s="6"/>
      <c r="B120" s="54"/>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6.8">
      <c r="A121" s="6"/>
      <c r="B121" s="54"/>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6.8">
      <c r="A122" s="6"/>
      <c r="B122" s="54"/>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6.8">
      <c r="A123" s="6"/>
      <c r="B123" s="54"/>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6.8">
      <c r="A124" s="6"/>
      <c r="B124" s="54"/>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6.8">
      <c r="A125" s="6"/>
      <c r="B125" s="54"/>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6.8">
      <c r="A126" s="6"/>
      <c r="B126" s="54"/>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6.8">
      <c r="A127" s="6"/>
      <c r="B127" s="54"/>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6.8">
      <c r="A128" s="6"/>
      <c r="B128" s="54"/>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6.8">
      <c r="A129" s="6"/>
      <c r="B129" s="54"/>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6.8">
      <c r="A130" s="6"/>
      <c r="B130" s="54"/>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6.8">
      <c r="A131" s="6"/>
      <c r="B131" s="54"/>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6.8">
      <c r="A132" s="6"/>
      <c r="B132" s="54"/>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6.8">
      <c r="A133" s="6"/>
      <c r="B133" s="54"/>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6.8">
      <c r="A134" s="6"/>
      <c r="B134" s="54"/>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6.8">
      <c r="A135" s="6"/>
      <c r="B135" s="54"/>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6.8">
      <c r="A136" s="6"/>
      <c r="B136" s="54"/>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6.8">
      <c r="A137" s="6"/>
      <c r="B137" s="54"/>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6.8">
      <c r="A138" s="6"/>
      <c r="B138" s="54"/>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6.8">
      <c r="A139" s="6"/>
      <c r="B139" s="54"/>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6.8">
      <c r="A140" s="6"/>
      <c r="B140" s="54"/>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6.8">
      <c r="A141" s="6"/>
      <c r="B141" s="54"/>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6.8">
      <c r="A142" s="6"/>
      <c r="B142" s="54"/>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6.8">
      <c r="A143" s="6"/>
      <c r="B143" s="54"/>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6.8">
      <c r="A144" s="6"/>
      <c r="B144" s="54"/>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6.8">
      <c r="A145" s="6"/>
      <c r="B145" s="54"/>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6.8">
      <c r="A146" s="6"/>
      <c r="B146" s="54"/>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6.8">
      <c r="A147" s="6"/>
      <c r="B147" s="54"/>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6.8">
      <c r="A148" s="6"/>
      <c r="B148" s="54"/>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6.8">
      <c r="A149" s="6"/>
      <c r="B149" s="54"/>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6.8">
      <c r="A150" s="6"/>
      <c r="B150" s="54"/>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6.8">
      <c r="A151" s="6"/>
      <c r="B151" s="54"/>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6.8">
      <c r="A152" s="6"/>
      <c r="B152" s="54"/>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6.8">
      <c r="A153" s="6"/>
      <c r="B153" s="54"/>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6.8">
      <c r="A154" s="6"/>
      <c r="B154" s="54"/>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6.8">
      <c r="A155" s="6"/>
      <c r="B155" s="54"/>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6.8">
      <c r="A156" s="6"/>
      <c r="B156" s="54"/>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6.8">
      <c r="A157" s="6"/>
      <c r="B157" s="54"/>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6.8">
      <c r="A158" s="6"/>
      <c r="B158" s="54"/>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6.8">
      <c r="A159" s="6"/>
      <c r="B159" s="54"/>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6.8">
      <c r="A160" s="6"/>
      <c r="B160" s="54"/>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6.8">
      <c r="A161" s="6"/>
      <c r="B161" s="54"/>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6.8">
      <c r="A162" s="6"/>
      <c r="B162" s="54"/>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6.8">
      <c r="A163" s="6"/>
      <c r="B163" s="54"/>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6.8">
      <c r="A164" s="6"/>
      <c r="B164" s="54"/>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6.8">
      <c r="A165" s="6"/>
      <c r="B165" s="54"/>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6.8">
      <c r="A166" s="6"/>
      <c r="B166" s="54"/>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6.8">
      <c r="A167" s="6"/>
      <c r="B167" s="54"/>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6.8">
      <c r="A168" s="6"/>
      <c r="B168" s="54"/>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6.8">
      <c r="A169" s="6"/>
      <c r="B169" s="54"/>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6.8">
      <c r="A170" s="6"/>
      <c r="B170" s="54"/>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6.8">
      <c r="A171" s="6"/>
      <c r="B171" s="54"/>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6.8">
      <c r="A172" s="6"/>
      <c r="B172" s="54"/>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6.8">
      <c r="A173" s="6"/>
      <c r="B173" s="54"/>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6.8">
      <c r="A174" s="6"/>
      <c r="B174" s="54"/>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6.8">
      <c r="A175" s="6"/>
      <c r="B175" s="54"/>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6.8">
      <c r="A176" s="6"/>
      <c r="B176" s="54"/>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6.8">
      <c r="A177" s="6"/>
      <c r="B177" s="54"/>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6.8">
      <c r="A178" s="6"/>
      <c r="B178" s="54"/>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6.8">
      <c r="A179" s="6"/>
      <c r="B179" s="54"/>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6.8">
      <c r="A180" s="6"/>
      <c r="B180" s="54"/>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6.8">
      <c r="A181" s="6"/>
      <c r="B181" s="54"/>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6.8">
      <c r="A182" s="6"/>
      <c r="B182" s="54"/>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6.8">
      <c r="A183" s="6"/>
      <c r="B183" s="54"/>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6.8">
      <c r="A184" s="6"/>
      <c r="B184" s="54"/>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6.8">
      <c r="A185" s="6"/>
      <c r="B185" s="54"/>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6.8">
      <c r="A186" s="6"/>
      <c r="B186" s="54"/>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6.8">
      <c r="A187" s="6"/>
      <c r="B187" s="54"/>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6.8">
      <c r="A188" s="6"/>
      <c r="B188" s="54"/>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6.8">
      <c r="A189" s="6"/>
      <c r="B189" s="54"/>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6.8">
      <c r="A190" s="6"/>
      <c r="B190" s="54"/>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6.8">
      <c r="A191" s="6"/>
      <c r="B191" s="54"/>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6.8">
      <c r="A192" s="6"/>
      <c r="B192" s="54"/>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6.8">
      <c r="A193" s="6"/>
      <c r="B193" s="54"/>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6.8">
      <c r="A194" s="6"/>
      <c r="B194" s="54"/>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6.8">
      <c r="A195" s="6"/>
      <c r="B195" s="54"/>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6.8">
      <c r="A196" s="6"/>
      <c r="B196" s="54"/>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6.8">
      <c r="A197" s="6"/>
      <c r="B197" s="54"/>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6.8">
      <c r="A198" s="6"/>
      <c r="B198" s="54"/>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6.8">
      <c r="A199" s="6"/>
      <c r="B199" s="54"/>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6.8">
      <c r="A200" s="6"/>
      <c r="B200" s="54"/>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6.8">
      <c r="A201" s="6"/>
      <c r="B201" s="54"/>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6.8">
      <c r="A202" s="6"/>
      <c r="B202" s="54"/>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6.8">
      <c r="A203" s="6"/>
      <c r="B203" s="54"/>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6.8">
      <c r="A204" s="6"/>
      <c r="B204" s="54"/>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6.8">
      <c r="A205" s="6"/>
      <c r="B205" s="54"/>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6.8">
      <c r="A206" s="6"/>
      <c r="B206" s="54"/>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6.8">
      <c r="A207" s="6"/>
      <c r="B207" s="54"/>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6.8">
      <c r="A208" s="6"/>
      <c r="B208" s="54"/>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6.8">
      <c r="A209" s="6"/>
      <c r="B209" s="54"/>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6.8">
      <c r="A210" s="6"/>
      <c r="B210" s="54"/>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6.8">
      <c r="A211" s="6"/>
      <c r="B211" s="54"/>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6.8">
      <c r="A212" s="6"/>
      <c r="B212" s="54"/>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6.8">
      <c r="A213" s="6"/>
      <c r="B213" s="54"/>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6.8">
      <c r="A214" s="6"/>
      <c r="B214" s="54"/>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6.8">
      <c r="A215" s="6"/>
      <c r="B215" s="54"/>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6.8">
      <c r="A216" s="6"/>
      <c r="B216" s="54"/>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6.8">
      <c r="A217" s="6"/>
      <c r="B217" s="54"/>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6.8">
      <c r="A218" s="6"/>
      <c r="B218" s="54"/>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6.8">
      <c r="A219" s="6"/>
      <c r="B219" s="54"/>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6.8">
      <c r="A220" s="6"/>
      <c r="B220" s="54"/>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6.8">
      <c r="A221" s="6"/>
      <c r="B221" s="54"/>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6.8">
      <c r="A222" s="6"/>
      <c r="B222" s="54"/>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6.8">
      <c r="A223" s="6"/>
      <c r="B223" s="54"/>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6.8">
      <c r="A224" s="6"/>
      <c r="B224" s="54"/>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6.8">
      <c r="A225" s="6"/>
      <c r="B225" s="54"/>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6.8">
      <c r="A226" s="6"/>
      <c r="B226" s="54"/>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6.8">
      <c r="A227" s="6"/>
      <c r="B227" s="54"/>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6.8">
      <c r="A228" s="6"/>
      <c r="B228" s="54"/>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6.8">
      <c r="A229" s="6"/>
      <c r="B229" s="54"/>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6.8">
      <c r="A230" s="6"/>
      <c r="B230" s="54"/>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6.8">
      <c r="A231" s="6"/>
      <c r="B231" s="54"/>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6.8">
      <c r="A232" s="6"/>
      <c r="B232" s="54"/>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6.8">
      <c r="A233" s="6"/>
      <c r="B233" s="54"/>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6.8">
      <c r="A234" s="6"/>
      <c r="B234" s="54"/>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6.8">
      <c r="A235" s="6"/>
      <c r="B235" s="54"/>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6.8">
      <c r="A236" s="6"/>
      <c r="B236" s="54"/>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6.8">
      <c r="A237" s="6"/>
      <c r="B237" s="54"/>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6.8">
      <c r="A238" s="6"/>
      <c r="B238" s="54"/>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6.8">
      <c r="A239" s="6"/>
      <c r="B239" s="54"/>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6.8">
      <c r="A240" s="6"/>
      <c r="B240" s="54"/>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6.8">
      <c r="A241" s="6"/>
      <c r="B241" s="54"/>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6.8">
      <c r="A242" s="6"/>
      <c r="B242" s="54"/>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6.8">
      <c r="A243" s="6"/>
      <c r="B243" s="54"/>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6.8">
      <c r="A244" s="6"/>
      <c r="B244" s="54"/>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6.8">
      <c r="A245" s="6"/>
      <c r="B245" s="54"/>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6.8">
      <c r="A246" s="6"/>
      <c r="B246" s="54"/>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6.8">
      <c r="A247" s="6"/>
      <c r="B247" s="54"/>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6.8">
      <c r="A248" s="6"/>
      <c r="B248" s="54"/>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6.8">
      <c r="A249" s="6"/>
      <c r="B249" s="54"/>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6.8">
      <c r="A250" s="6"/>
      <c r="B250" s="54"/>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6.8">
      <c r="A251" s="6"/>
      <c r="B251" s="54"/>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6.8">
      <c r="A252" s="6"/>
      <c r="B252" s="54"/>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6.8">
      <c r="A253" s="6"/>
      <c r="B253" s="54"/>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6.8">
      <c r="A254" s="6"/>
      <c r="B254" s="54"/>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6.8">
      <c r="A255" s="6"/>
      <c r="B255" s="54"/>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6.8">
      <c r="A256" s="6"/>
      <c r="B256" s="54"/>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6.8">
      <c r="A257" s="6"/>
      <c r="B257" s="54"/>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6.8">
      <c r="A258" s="6"/>
      <c r="B258" s="54"/>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6.8">
      <c r="A259" s="6"/>
      <c r="B259" s="54"/>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6.8">
      <c r="A260" s="6"/>
      <c r="B260" s="54"/>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6.8">
      <c r="A261" s="6"/>
      <c r="B261" s="54"/>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6.8">
      <c r="A262" s="6"/>
      <c r="B262" s="54"/>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6.8">
      <c r="A263" s="6"/>
      <c r="B263" s="54"/>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6.8">
      <c r="A264" s="6"/>
      <c r="B264" s="54"/>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6.8">
      <c r="A265" s="6"/>
      <c r="B265" s="54"/>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6.8">
      <c r="A266" s="6"/>
      <c r="B266" s="54"/>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6.8">
      <c r="A267" s="6"/>
      <c r="B267" s="54"/>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6.8">
      <c r="A268" s="6"/>
      <c r="B268" s="54"/>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6.8">
      <c r="A269" s="6"/>
      <c r="B269" s="54"/>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6.8">
      <c r="A270" s="6"/>
      <c r="B270" s="54"/>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6.8">
      <c r="A271" s="6"/>
      <c r="B271" s="54"/>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6.8">
      <c r="A272" s="6"/>
      <c r="B272" s="54"/>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6.8">
      <c r="A273" s="6"/>
      <c r="B273" s="54"/>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6.8">
      <c r="A274" s="6"/>
      <c r="B274" s="54"/>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6.8">
      <c r="A275" s="6"/>
      <c r="B275" s="54"/>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6.8">
      <c r="A276" s="6"/>
      <c r="B276" s="54"/>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6.8">
      <c r="A277" s="6"/>
      <c r="B277" s="54"/>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6.8">
      <c r="A278" s="6"/>
      <c r="B278" s="54"/>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6.8">
      <c r="A279" s="6"/>
      <c r="B279" s="54"/>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6.8">
      <c r="A280" s="6"/>
      <c r="B280" s="54"/>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6.8">
      <c r="A281" s="6"/>
      <c r="B281" s="54"/>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6.8">
      <c r="A282" s="6"/>
      <c r="B282" s="54"/>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6.8">
      <c r="A283" s="6"/>
      <c r="B283" s="54"/>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6.8">
      <c r="A284" s="6"/>
      <c r="B284" s="54"/>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6.8">
      <c r="A285" s="6"/>
      <c r="B285" s="54"/>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6.8">
      <c r="A286" s="6"/>
      <c r="B286" s="54"/>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6.8">
      <c r="A287" s="6"/>
      <c r="B287" s="54"/>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6.8">
      <c r="A288" s="6"/>
      <c r="B288" s="54"/>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6.8">
      <c r="A289" s="6"/>
      <c r="B289" s="54"/>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6.8">
      <c r="A290" s="6"/>
      <c r="B290" s="54"/>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6.8">
      <c r="A291" s="6"/>
      <c r="B291" s="54"/>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6.8">
      <c r="A292" s="6"/>
      <c r="B292" s="54"/>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6.8">
      <c r="A293" s="6"/>
      <c r="B293" s="54"/>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6.8">
      <c r="A294" s="6"/>
      <c r="B294" s="54"/>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6.8">
      <c r="A295" s="6"/>
      <c r="B295" s="54"/>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6.8">
      <c r="A296" s="6"/>
      <c r="B296" s="54"/>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6.8">
      <c r="A297" s="6"/>
      <c r="B297" s="54"/>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6.8">
      <c r="A298" s="6"/>
      <c r="B298" s="54"/>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6.8">
      <c r="A299" s="6"/>
      <c r="B299" s="54"/>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6.8">
      <c r="A300" s="6"/>
      <c r="B300" s="54"/>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6.8">
      <c r="A301" s="6"/>
      <c r="B301" s="54"/>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6.8">
      <c r="A302" s="6"/>
      <c r="B302" s="54"/>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6.8">
      <c r="A303" s="6"/>
      <c r="B303" s="54"/>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6.8">
      <c r="A304" s="6"/>
      <c r="B304" s="54"/>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6.8">
      <c r="A305" s="6"/>
      <c r="B305" s="54"/>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6.8">
      <c r="A306" s="6"/>
      <c r="B306" s="54"/>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6.8">
      <c r="A307" s="6"/>
      <c r="B307" s="54"/>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6.8">
      <c r="A308" s="6"/>
      <c r="B308" s="54"/>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6.8">
      <c r="A309" s="6"/>
      <c r="B309" s="54"/>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6.8">
      <c r="A310" s="6"/>
      <c r="B310" s="54"/>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6.8">
      <c r="A311" s="6"/>
      <c r="B311" s="54"/>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6.8">
      <c r="A312" s="6"/>
      <c r="B312" s="54"/>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6.8">
      <c r="A313" s="6"/>
      <c r="B313" s="54"/>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6.8">
      <c r="A314" s="6"/>
      <c r="B314" s="54"/>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6.8">
      <c r="A315" s="6"/>
      <c r="B315" s="54"/>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6.8">
      <c r="A316" s="6"/>
      <c r="B316" s="54"/>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6.8">
      <c r="A317" s="6"/>
      <c r="B317" s="54"/>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6.8">
      <c r="A318" s="6"/>
      <c r="B318" s="54"/>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6.8">
      <c r="A319" s="6"/>
      <c r="B319" s="54"/>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6.8">
      <c r="A320" s="6"/>
      <c r="B320" s="54"/>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6.8">
      <c r="A321" s="6"/>
      <c r="B321" s="54"/>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6.8">
      <c r="A322" s="6"/>
      <c r="B322" s="54"/>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6.8">
      <c r="A323" s="6"/>
      <c r="B323" s="54"/>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6.8">
      <c r="A324" s="6"/>
      <c r="B324" s="54"/>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6.8">
      <c r="A325" s="6"/>
      <c r="B325" s="54"/>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6.8">
      <c r="A326" s="6"/>
      <c r="B326" s="54"/>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6.8">
      <c r="A327" s="6"/>
      <c r="B327" s="54"/>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6.8">
      <c r="A328" s="6"/>
      <c r="B328" s="54"/>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6.8">
      <c r="A329" s="6"/>
      <c r="B329" s="54"/>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6.8">
      <c r="A330" s="6"/>
      <c r="B330" s="54"/>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6.8">
      <c r="A331" s="6"/>
      <c r="B331" s="54"/>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6.8">
      <c r="A332" s="6"/>
      <c r="B332" s="54"/>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6.8">
      <c r="A333" s="6"/>
      <c r="B333" s="54"/>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6.8">
      <c r="A334" s="6"/>
      <c r="B334" s="54"/>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6.8">
      <c r="A335" s="6"/>
      <c r="B335" s="54"/>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6.8">
      <c r="A336" s="6"/>
      <c r="B336" s="54"/>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6.8">
      <c r="A337" s="6"/>
      <c r="B337" s="54"/>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6.8">
      <c r="A338" s="6"/>
      <c r="B338" s="54"/>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6.8">
      <c r="A339" s="6"/>
      <c r="B339" s="54"/>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6.8">
      <c r="A340" s="6"/>
      <c r="B340" s="54"/>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6.8">
      <c r="A341" s="6"/>
      <c r="B341" s="54"/>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6.8">
      <c r="A342" s="6"/>
      <c r="B342" s="54"/>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6.8">
      <c r="A343" s="6"/>
      <c r="B343" s="54"/>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6.8">
      <c r="A344" s="6"/>
      <c r="B344" s="54"/>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6.8">
      <c r="A345" s="6"/>
      <c r="B345" s="54"/>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6.8">
      <c r="A346" s="6"/>
      <c r="B346" s="54"/>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6.8">
      <c r="A347" s="6"/>
      <c r="B347" s="54"/>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6.8">
      <c r="A348" s="6"/>
      <c r="B348" s="54"/>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6.8">
      <c r="A349" s="6"/>
      <c r="B349" s="54"/>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6.8">
      <c r="A350" s="6"/>
      <c r="B350" s="54"/>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6.8">
      <c r="A351" s="6"/>
      <c r="B351" s="54"/>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6.8">
      <c r="A352" s="6"/>
      <c r="B352" s="54"/>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6.8">
      <c r="A353" s="6"/>
      <c r="B353" s="54"/>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6.8">
      <c r="A354" s="6"/>
      <c r="B354" s="54"/>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6.8">
      <c r="A355" s="6"/>
      <c r="B355" s="54"/>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6.8">
      <c r="A356" s="6"/>
      <c r="B356" s="54"/>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6.8">
      <c r="A357" s="6"/>
      <c r="B357" s="54"/>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6.8">
      <c r="A358" s="6"/>
      <c r="B358" s="54"/>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6.8">
      <c r="A359" s="6"/>
      <c r="B359" s="54"/>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6.8">
      <c r="A360" s="6"/>
      <c r="B360" s="54"/>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6.8">
      <c r="A361" s="6"/>
      <c r="B361" s="54"/>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6.8">
      <c r="A362" s="6"/>
      <c r="B362" s="54"/>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6.8">
      <c r="A363" s="6"/>
      <c r="B363" s="54"/>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6.8">
      <c r="A364" s="6"/>
      <c r="B364" s="54"/>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6.8">
      <c r="A365" s="6"/>
      <c r="B365" s="54"/>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6.8">
      <c r="A366" s="6"/>
      <c r="B366" s="54"/>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6.8">
      <c r="A367" s="6"/>
      <c r="B367" s="54"/>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6.8">
      <c r="A368" s="6"/>
      <c r="B368" s="54"/>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6.8">
      <c r="A369" s="6"/>
      <c r="B369" s="54"/>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6.8">
      <c r="A370" s="6"/>
      <c r="B370" s="54"/>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6.8">
      <c r="A371" s="6"/>
      <c r="B371" s="54"/>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6.8">
      <c r="A372" s="6"/>
      <c r="B372" s="54"/>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6.8">
      <c r="A373" s="6"/>
      <c r="B373" s="54"/>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6.8">
      <c r="A374" s="6"/>
      <c r="B374" s="54"/>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6.8">
      <c r="A375" s="6"/>
      <c r="B375" s="54"/>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6.8">
      <c r="A376" s="6"/>
      <c r="B376" s="54"/>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6.8">
      <c r="A377" s="6"/>
      <c r="B377" s="54"/>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6.8">
      <c r="A378" s="6"/>
      <c r="B378" s="54"/>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6.8">
      <c r="A379" s="6"/>
      <c r="B379" s="54"/>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6.8">
      <c r="A380" s="6"/>
      <c r="B380" s="54"/>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6.8">
      <c r="A381" s="6"/>
      <c r="B381" s="54"/>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6.8">
      <c r="A382" s="6"/>
      <c r="B382" s="54"/>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6.8">
      <c r="A383" s="6"/>
      <c r="B383" s="54"/>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6.8">
      <c r="A384" s="6"/>
      <c r="B384" s="54"/>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6.8">
      <c r="A385" s="6"/>
      <c r="B385" s="54"/>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6.8">
      <c r="A386" s="6"/>
      <c r="B386" s="54"/>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6.8">
      <c r="A387" s="6"/>
      <c r="B387" s="54"/>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6.8">
      <c r="A388" s="6"/>
      <c r="B388" s="54"/>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6.8">
      <c r="A389" s="6"/>
      <c r="B389" s="54"/>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6.8">
      <c r="A390" s="6"/>
      <c r="B390" s="54"/>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6.8">
      <c r="A391" s="6"/>
      <c r="B391" s="54"/>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6.8">
      <c r="A392" s="6"/>
      <c r="B392" s="54"/>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6.8">
      <c r="A393" s="6"/>
      <c r="B393" s="54"/>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6.8">
      <c r="A394" s="6"/>
      <c r="B394" s="54"/>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6.8">
      <c r="A395" s="6"/>
      <c r="B395" s="54"/>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6.8">
      <c r="A396" s="6"/>
      <c r="B396" s="54"/>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6.8">
      <c r="A397" s="6"/>
      <c r="B397" s="54"/>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6.8">
      <c r="A398" s="6"/>
      <c r="B398" s="54"/>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6.8">
      <c r="A399" s="6"/>
      <c r="B399" s="54"/>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6.8">
      <c r="A400" s="6"/>
      <c r="B400" s="54"/>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6.8">
      <c r="A401" s="6"/>
      <c r="B401" s="54"/>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6.8">
      <c r="A402" s="6"/>
      <c r="B402" s="54"/>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6.8">
      <c r="A403" s="6"/>
      <c r="B403" s="54"/>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6.8">
      <c r="A404" s="6"/>
      <c r="B404" s="54"/>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6.8">
      <c r="A405" s="6"/>
      <c r="B405" s="54"/>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6.8">
      <c r="A406" s="6"/>
      <c r="B406" s="54"/>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6.8">
      <c r="A407" s="6"/>
      <c r="B407" s="54"/>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6.8">
      <c r="A408" s="6"/>
      <c r="B408" s="54"/>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6.8">
      <c r="A409" s="6"/>
      <c r="B409" s="54"/>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6.8">
      <c r="A410" s="6"/>
      <c r="B410" s="54"/>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6.8">
      <c r="A411" s="6"/>
      <c r="B411" s="54"/>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6.8">
      <c r="A412" s="6"/>
      <c r="B412" s="54"/>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6.8">
      <c r="A413" s="6"/>
      <c r="B413" s="54"/>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6.8">
      <c r="A414" s="6"/>
      <c r="B414" s="54"/>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6.8">
      <c r="A415" s="6"/>
      <c r="B415" s="54"/>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6.8">
      <c r="A416" s="6"/>
      <c r="B416" s="54"/>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6.8">
      <c r="A417" s="6"/>
      <c r="B417" s="54"/>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6.8">
      <c r="A418" s="6"/>
      <c r="B418" s="54"/>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6.8">
      <c r="A419" s="6"/>
      <c r="B419" s="54"/>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6.8">
      <c r="A420" s="6"/>
      <c r="B420" s="54"/>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6.8">
      <c r="A421" s="6"/>
      <c r="B421" s="54"/>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6.8">
      <c r="A422" s="6"/>
      <c r="B422" s="54"/>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6.8">
      <c r="A423" s="6"/>
      <c r="B423" s="54"/>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6.8">
      <c r="A424" s="6"/>
      <c r="B424" s="54"/>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6.8">
      <c r="A425" s="6"/>
      <c r="B425" s="54"/>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6.8">
      <c r="A426" s="6"/>
      <c r="B426" s="54"/>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6.8">
      <c r="A427" s="6"/>
      <c r="B427" s="54"/>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6.8">
      <c r="A428" s="6"/>
      <c r="B428" s="54"/>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6.8">
      <c r="A429" s="6"/>
      <c r="B429" s="54"/>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6.8">
      <c r="A430" s="6"/>
      <c r="B430" s="54"/>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6.8">
      <c r="A431" s="6"/>
      <c r="B431" s="54"/>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6.8">
      <c r="A432" s="6"/>
      <c r="B432" s="54"/>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6.8">
      <c r="A433" s="6"/>
      <c r="B433" s="54"/>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6.8">
      <c r="A434" s="6"/>
      <c r="B434" s="54"/>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6.8">
      <c r="A435" s="6"/>
      <c r="B435" s="54"/>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6.8">
      <c r="A436" s="6"/>
      <c r="B436" s="54"/>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6.8">
      <c r="A437" s="6"/>
      <c r="B437" s="54"/>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6.8">
      <c r="A438" s="6"/>
      <c r="B438" s="54"/>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6.8">
      <c r="A439" s="6"/>
      <c r="B439" s="54"/>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6.8">
      <c r="A440" s="6"/>
      <c r="B440" s="54"/>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6.8">
      <c r="A441" s="6"/>
      <c r="B441" s="54"/>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6.8">
      <c r="A442" s="6"/>
      <c r="B442" s="54"/>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6.8">
      <c r="A443" s="6"/>
      <c r="B443" s="54"/>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6.8">
      <c r="A444" s="6"/>
      <c r="B444" s="54"/>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6.8">
      <c r="A445" s="6"/>
      <c r="B445" s="54"/>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6.8">
      <c r="A446" s="6"/>
      <c r="B446" s="54"/>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6.8">
      <c r="A447" s="6"/>
      <c r="B447" s="54"/>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6.8">
      <c r="A448" s="6"/>
      <c r="B448" s="54"/>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6.8">
      <c r="A449" s="6"/>
      <c r="B449" s="54"/>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6.8">
      <c r="A450" s="6"/>
      <c r="B450" s="54"/>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6.8">
      <c r="A451" s="6"/>
      <c r="B451" s="54"/>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6.8">
      <c r="A452" s="6"/>
      <c r="B452" s="54"/>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6.8">
      <c r="A453" s="6"/>
      <c r="B453" s="54"/>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6.8">
      <c r="A454" s="6"/>
      <c r="B454" s="54"/>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6.8">
      <c r="A455" s="6"/>
      <c r="B455" s="54"/>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6.8">
      <c r="A456" s="6"/>
      <c r="B456" s="54"/>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6.8">
      <c r="A457" s="6"/>
      <c r="B457" s="54"/>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6.8">
      <c r="A458" s="6"/>
      <c r="B458" s="54"/>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6.8">
      <c r="A459" s="6"/>
      <c r="B459" s="54"/>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6.8">
      <c r="A460" s="6"/>
      <c r="B460" s="54"/>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6.8">
      <c r="A461" s="6"/>
      <c r="B461" s="54"/>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6.8">
      <c r="A462" s="6"/>
      <c r="B462" s="54"/>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6.8">
      <c r="A463" s="6"/>
      <c r="B463" s="54"/>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6.8">
      <c r="A464" s="6"/>
      <c r="B464" s="54"/>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6.8">
      <c r="A465" s="6"/>
      <c r="B465" s="54"/>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6.8">
      <c r="A466" s="6"/>
      <c r="B466" s="54"/>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6.8">
      <c r="A467" s="6"/>
      <c r="B467" s="54"/>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6.8">
      <c r="A468" s="6"/>
      <c r="B468" s="54"/>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6.8">
      <c r="A469" s="6"/>
      <c r="B469" s="54"/>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6.8">
      <c r="A470" s="6"/>
      <c r="B470" s="54"/>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6.8">
      <c r="A471" s="6"/>
      <c r="B471" s="54"/>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6.8">
      <c r="A472" s="6"/>
      <c r="B472" s="54"/>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6.8">
      <c r="A473" s="6"/>
      <c r="B473" s="54"/>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6.8">
      <c r="A474" s="6"/>
      <c r="B474" s="54"/>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6.8">
      <c r="A475" s="6"/>
      <c r="B475" s="54"/>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6.8">
      <c r="A476" s="6"/>
      <c r="B476" s="54"/>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6.8">
      <c r="A477" s="6"/>
      <c r="B477" s="54"/>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6.8">
      <c r="A478" s="6"/>
      <c r="B478" s="54"/>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6.8">
      <c r="A479" s="6"/>
      <c r="B479" s="54"/>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6.8">
      <c r="A480" s="6"/>
      <c r="B480" s="54"/>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6.8">
      <c r="A481" s="6"/>
      <c r="B481" s="54"/>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6.8">
      <c r="A482" s="6"/>
      <c r="B482" s="54"/>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6.8">
      <c r="A483" s="6"/>
      <c r="B483" s="54"/>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6.8">
      <c r="A484" s="6"/>
      <c r="B484" s="54"/>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6.8">
      <c r="A485" s="6"/>
      <c r="B485" s="54"/>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6.8">
      <c r="A486" s="6"/>
      <c r="B486" s="54"/>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6.8">
      <c r="A487" s="6"/>
      <c r="B487" s="54"/>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6.8">
      <c r="A488" s="6"/>
      <c r="B488" s="54"/>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6.8">
      <c r="A489" s="6"/>
      <c r="B489" s="54"/>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6.8">
      <c r="A490" s="6"/>
      <c r="B490" s="54"/>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6.8">
      <c r="A491" s="6"/>
      <c r="B491" s="54"/>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6.8">
      <c r="A492" s="6"/>
      <c r="B492" s="54"/>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6.8">
      <c r="A493" s="6"/>
      <c r="B493" s="54"/>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6.8">
      <c r="A494" s="6"/>
      <c r="B494" s="54"/>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6.8">
      <c r="A495" s="6"/>
      <c r="B495" s="54"/>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6.8">
      <c r="A496" s="6"/>
      <c r="B496" s="54"/>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6.8">
      <c r="A497" s="6"/>
      <c r="B497" s="54"/>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6.8">
      <c r="A498" s="6"/>
      <c r="B498" s="54"/>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6.8">
      <c r="A499" s="6"/>
      <c r="B499" s="54"/>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6.8">
      <c r="A500" s="6"/>
      <c r="B500" s="54"/>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6.8">
      <c r="A501" s="6"/>
      <c r="B501" s="54"/>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6.8">
      <c r="A502" s="6"/>
      <c r="B502" s="54"/>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6.8">
      <c r="A503" s="6"/>
      <c r="B503" s="54"/>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6.8">
      <c r="A504" s="6"/>
      <c r="B504" s="54"/>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6.8">
      <c r="A505" s="6"/>
      <c r="B505" s="54"/>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6.8">
      <c r="A506" s="6"/>
      <c r="B506" s="54"/>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6.8">
      <c r="A507" s="6"/>
      <c r="B507" s="54"/>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6.8">
      <c r="A508" s="6"/>
      <c r="B508" s="54"/>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6.8">
      <c r="A509" s="6"/>
      <c r="B509" s="54"/>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6.8">
      <c r="A510" s="6"/>
      <c r="B510" s="54"/>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6.8">
      <c r="A511" s="6"/>
      <c r="B511" s="54"/>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6.8">
      <c r="A512" s="6"/>
      <c r="B512" s="54"/>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6.8">
      <c r="A513" s="6"/>
      <c r="B513" s="54"/>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6.8">
      <c r="A514" s="6"/>
      <c r="B514" s="54"/>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6.8">
      <c r="A515" s="6"/>
      <c r="B515" s="54"/>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6.8">
      <c r="A516" s="6"/>
      <c r="B516" s="54"/>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6.8">
      <c r="A517" s="6"/>
      <c r="B517" s="54"/>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6.8">
      <c r="A518" s="6"/>
      <c r="B518" s="54"/>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6.8">
      <c r="A519" s="6"/>
      <c r="B519" s="54"/>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6.8">
      <c r="A520" s="6"/>
      <c r="B520" s="54"/>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6.8">
      <c r="A521" s="6"/>
      <c r="B521" s="54"/>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6.8">
      <c r="A522" s="6"/>
      <c r="B522" s="54"/>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6.8">
      <c r="A523" s="6"/>
      <c r="B523" s="54"/>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6.8">
      <c r="A524" s="6"/>
      <c r="B524" s="54"/>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6.8">
      <c r="A525" s="6"/>
      <c r="B525" s="54"/>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6.8">
      <c r="A526" s="6"/>
      <c r="B526" s="54"/>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6.8">
      <c r="A527" s="6"/>
      <c r="B527" s="54"/>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6.8">
      <c r="A528" s="6"/>
      <c r="B528" s="54"/>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6.8">
      <c r="A529" s="6"/>
      <c r="B529" s="54"/>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6.8">
      <c r="A530" s="6"/>
      <c r="B530" s="54"/>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6.8">
      <c r="A531" s="6"/>
      <c r="B531" s="54"/>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6.8">
      <c r="A532" s="6"/>
      <c r="B532" s="54"/>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6.8">
      <c r="A533" s="6"/>
      <c r="B533" s="54"/>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6.8">
      <c r="A534" s="6"/>
      <c r="B534" s="54"/>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6.8">
      <c r="A535" s="6"/>
      <c r="B535" s="54"/>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6.8">
      <c r="A536" s="6"/>
      <c r="B536" s="54"/>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6.8">
      <c r="A537" s="6"/>
      <c r="B537" s="54"/>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6.8">
      <c r="A538" s="6"/>
      <c r="B538" s="54"/>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6.8">
      <c r="A539" s="6"/>
      <c r="B539" s="54"/>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6.8">
      <c r="A540" s="6"/>
      <c r="B540" s="54"/>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6.8">
      <c r="A541" s="6"/>
      <c r="B541" s="54"/>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6.8">
      <c r="A542" s="6"/>
      <c r="B542" s="54"/>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6.8">
      <c r="A543" s="6"/>
      <c r="B543" s="54"/>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6.8">
      <c r="A544" s="6"/>
      <c r="B544" s="54"/>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6.8">
      <c r="A545" s="6"/>
      <c r="B545" s="54"/>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6.8">
      <c r="A546" s="6"/>
      <c r="B546" s="54"/>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6.8">
      <c r="A547" s="6"/>
      <c r="B547" s="54"/>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6.8">
      <c r="A548" s="6"/>
      <c r="B548" s="54"/>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6.8">
      <c r="A549" s="6"/>
      <c r="B549" s="54"/>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6.8">
      <c r="A550" s="6"/>
      <c r="B550" s="54"/>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6.8">
      <c r="A551" s="6"/>
      <c r="B551" s="54"/>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6.8">
      <c r="A552" s="6"/>
      <c r="B552" s="54"/>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6.8">
      <c r="A553" s="6"/>
      <c r="B553" s="54"/>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6.8">
      <c r="A554" s="6"/>
      <c r="B554" s="54"/>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6.8">
      <c r="A555" s="6"/>
      <c r="B555" s="54"/>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6.8">
      <c r="A556" s="6"/>
      <c r="B556" s="54"/>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6.8">
      <c r="A557" s="6"/>
      <c r="B557" s="54"/>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6.8">
      <c r="A558" s="6"/>
      <c r="B558" s="54"/>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6.8">
      <c r="A559" s="6"/>
      <c r="B559" s="54"/>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6.8">
      <c r="A560" s="6"/>
      <c r="B560" s="54"/>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6.8">
      <c r="A561" s="6"/>
      <c r="B561" s="54"/>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6.8">
      <c r="A562" s="6"/>
      <c r="B562" s="54"/>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6.8">
      <c r="A563" s="6"/>
      <c r="B563" s="54"/>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6.8">
      <c r="A564" s="6"/>
      <c r="B564" s="54"/>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6.8">
      <c r="A565" s="6"/>
      <c r="B565" s="54"/>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6.8">
      <c r="A566" s="6"/>
      <c r="B566" s="54"/>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6.8">
      <c r="A567" s="6"/>
      <c r="B567" s="54"/>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6.8">
      <c r="A568" s="6"/>
      <c r="B568" s="54"/>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6.8">
      <c r="A569" s="6"/>
      <c r="B569" s="54"/>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6.8">
      <c r="A570" s="6"/>
      <c r="B570" s="54"/>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6.8">
      <c r="A571" s="6"/>
      <c r="B571" s="54"/>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6.8">
      <c r="A572" s="6"/>
      <c r="B572" s="54"/>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6.8">
      <c r="A573" s="6"/>
      <c r="B573" s="54"/>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6.8">
      <c r="A574" s="6"/>
      <c r="B574" s="54"/>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6.8">
      <c r="A575" s="6"/>
      <c r="B575" s="54"/>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6.8">
      <c r="A576" s="6"/>
      <c r="B576" s="54"/>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6.8">
      <c r="A577" s="6"/>
      <c r="B577" s="54"/>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6.8">
      <c r="A578" s="6"/>
      <c r="B578" s="54"/>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6.8">
      <c r="A579" s="6"/>
      <c r="B579" s="54"/>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6.8">
      <c r="A580" s="6"/>
      <c r="B580" s="54"/>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6.8">
      <c r="A581" s="6"/>
      <c r="B581" s="54"/>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6.8">
      <c r="A582" s="6"/>
      <c r="B582" s="54"/>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6.8">
      <c r="A583" s="6"/>
      <c r="B583" s="54"/>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6.8">
      <c r="A584" s="6"/>
      <c r="B584" s="54"/>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6.8">
      <c r="A585" s="6"/>
      <c r="B585" s="54"/>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6.8">
      <c r="A586" s="6"/>
      <c r="B586" s="54"/>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6.8">
      <c r="A587" s="6"/>
      <c r="B587" s="54"/>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6.8">
      <c r="A588" s="6"/>
      <c r="B588" s="54"/>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6.8">
      <c r="A589" s="6"/>
      <c r="B589" s="54"/>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6.8">
      <c r="A590" s="6"/>
      <c r="B590" s="54"/>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6.8">
      <c r="A591" s="6"/>
      <c r="B591" s="54"/>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6.8">
      <c r="A592" s="6"/>
      <c r="B592" s="54"/>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6.8">
      <c r="A593" s="6"/>
      <c r="B593" s="54"/>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6.8">
      <c r="A594" s="6"/>
      <c r="B594" s="54"/>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6.8">
      <c r="A595" s="6"/>
      <c r="B595" s="54"/>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6.8">
      <c r="A596" s="6"/>
      <c r="B596" s="54"/>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6.8">
      <c r="A597" s="6"/>
      <c r="B597" s="54"/>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6.8">
      <c r="A598" s="6"/>
      <c r="B598" s="54"/>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6.8">
      <c r="A599" s="6"/>
      <c r="B599" s="54"/>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6.8">
      <c r="A600" s="6"/>
      <c r="B600" s="54"/>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6.8">
      <c r="A601" s="6"/>
      <c r="B601" s="54"/>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6.8">
      <c r="A602" s="6"/>
      <c r="B602" s="54"/>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6.8">
      <c r="A603" s="6"/>
      <c r="B603" s="54"/>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6.8">
      <c r="A604" s="6"/>
      <c r="B604" s="54"/>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6.8">
      <c r="A605" s="6"/>
      <c r="B605" s="54"/>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6.8">
      <c r="A606" s="6"/>
      <c r="B606" s="54"/>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6.8">
      <c r="A607" s="6"/>
      <c r="B607" s="54"/>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6.8">
      <c r="A608" s="6"/>
      <c r="B608" s="54"/>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6.8">
      <c r="A609" s="6"/>
      <c r="B609" s="54"/>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6.8">
      <c r="A610" s="6"/>
      <c r="B610" s="54"/>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6.8">
      <c r="A611" s="6"/>
      <c r="B611" s="54"/>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6.8">
      <c r="A612" s="6"/>
      <c r="B612" s="54"/>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6.8">
      <c r="A613" s="6"/>
      <c r="B613" s="54"/>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6.8">
      <c r="A614" s="6"/>
      <c r="B614" s="54"/>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6.8">
      <c r="A615" s="6"/>
      <c r="B615" s="54"/>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6.8">
      <c r="A616" s="6"/>
      <c r="B616" s="54"/>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6.8">
      <c r="A617" s="6"/>
      <c r="B617" s="54"/>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6.8">
      <c r="A618" s="6"/>
      <c r="B618" s="54"/>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6.8">
      <c r="A619" s="6"/>
      <c r="B619" s="54"/>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6.8">
      <c r="A620" s="6"/>
      <c r="B620" s="54"/>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6.8">
      <c r="A621" s="6"/>
      <c r="B621" s="54"/>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6.8">
      <c r="A622" s="6"/>
      <c r="B622" s="54"/>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6.8">
      <c r="A623" s="6"/>
      <c r="B623" s="54"/>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6.8">
      <c r="A624" s="6"/>
      <c r="B624" s="54"/>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6.8">
      <c r="A625" s="6"/>
      <c r="B625" s="54"/>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6.8">
      <c r="A626" s="6"/>
      <c r="B626" s="54"/>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6.8">
      <c r="A627" s="6"/>
      <c r="B627" s="54"/>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6.8">
      <c r="A628" s="6"/>
      <c r="B628" s="54"/>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6.8">
      <c r="A629" s="6"/>
      <c r="B629" s="54"/>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6.8">
      <c r="A630" s="6"/>
      <c r="B630" s="54"/>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6.8">
      <c r="A631" s="6"/>
      <c r="B631" s="54"/>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6.8">
      <c r="A632" s="6"/>
      <c r="B632" s="54"/>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6.8">
      <c r="A633" s="6"/>
      <c r="B633" s="54"/>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6.8">
      <c r="A634" s="6"/>
      <c r="B634" s="54"/>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6.8">
      <c r="A635" s="6"/>
      <c r="B635" s="54"/>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6.8">
      <c r="A636" s="6"/>
      <c r="B636" s="54"/>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6.8">
      <c r="A637" s="6"/>
      <c r="B637" s="54"/>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6.8">
      <c r="A638" s="6"/>
      <c r="B638" s="54"/>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6.8">
      <c r="A639" s="6"/>
      <c r="B639" s="54"/>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6.8">
      <c r="A640" s="6"/>
      <c r="B640" s="54"/>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6.8">
      <c r="A641" s="6"/>
      <c r="B641" s="54"/>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6.8">
      <c r="A642" s="6"/>
      <c r="B642" s="54"/>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6.8">
      <c r="A643" s="6"/>
      <c r="B643" s="54"/>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6.8">
      <c r="A644" s="6"/>
      <c r="B644" s="54"/>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6.8">
      <c r="A645" s="6"/>
      <c r="B645" s="54"/>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6.8">
      <c r="A646" s="6"/>
      <c r="B646" s="54"/>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6.8">
      <c r="A647" s="6"/>
      <c r="B647" s="54"/>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6.8">
      <c r="A648" s="6"/>
      <c r="B648" s="54"/>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6.8">
      <c r="A649" s="6"/>
      <c r="B649" s="54"/>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6.8">
      <c r="A650" s="6"/>
      <c r="B650" s="54"/>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6.8">
      <c r="A651" s="6"/>
      <c r="B651" s="54"/>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6.8">
      <c r="A652" s="6"/>
      <c r="B652" s="54"/>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6.8">
      <c r="A653" s="6"/>
      <c r="B653" s="54"/>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6.8">
      <c r="A654" s="6"/>
      <c r="B654" s="54"/>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6.8">
      <c r="A655" s="6"/>
      <c r="B655" s="54"/>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6.8">
      <c r="A656" s="6"/>
      <c r="B656" s="54"/>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6.8">
      <c r="A657" s="6"/>
      <c r="B657" s="54"/>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6.8">
      <c r="A658" s="6"/>
      <c r="B658" s="54"/>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6.8">
      <c r="A659" s="6"/>
      <c r="B659" s="54"/>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6.8">
      <c r="A660" s="6"/>
      <c r="B660" s="54"/>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6.8">
      <c r="A661" s="6"/>
      <c r="B661" s="54"/>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6.8">
      <c r="A662" s="6"/>
      <c r="B662" s="54"/>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6.8">
      <c r="A663" s="6"/>
      <c r="B663" s="54"/>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6.8">
      <c r="A664" s="6"/>
      <c r="B664" s="54"/>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6.8">
      <c r="A665" s="6"/>
      <c r="B665" s="54"/>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6.8">
      <c r="A666" s="6"/>
      <c r="B666" s="54"/>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6.8">
      <c r="A667" s="6"/>
      <c r="B667" s="54"/>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6.8">
      <c r="A668" s="6"/>
      <c r="B668" s="54"/>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6.8">
      <c r="A669" s="6"/>
      <c r="B669" s="54"/>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6.8">
      <c r="A670" s="6"/>
      <c r="B670" s="54"/>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6.8">
      <c r="A671" s="6"/>
      <c r="B671" s="54"/>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6.8">
      <c r="A672" s="6"/>
      <c r="B672" s="54"/>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6.8">
      <c r="A673" s="6"/>
      <c r="B673" s="54"/>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6.8">
      <c r="A674" s="6"/>
      <c r="B674" s="54"/>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6.8">
      <c r="A675" s="6"/>
      <c r="B675" s="54"/>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6.8">
      <c r="A676" s="6"/>
      <c r="B676" s="54"/>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6.8">
      <c r="A677" s="6"/>
      <c r="B677" s="54"/>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6.8">
      <c r="A678" s="6"/>
      <c r="B678" s="54"/>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6.8">
      <c r="A679" s="6"/>
      <c r="B679" s="54"/>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6.8">
      <c r="A680" s="6"/>
      <c r="B680" s="54"/>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6.8">
      <c r="A681" s="6"/>
      <c r="B681" s="54"/>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6.8">
      <c r="A682" s="6"/>
      <c r="B682" s="54"/>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6.8">
      <c r="A683" s="6"/>
      <c r="B683" s="54"/>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6.8">
      <c r="A684" s="6"/>
      <c r="B684" s="54"/>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6.8">
      <c r="A685" s="6"/>
      <c r="B685" s="54"/>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6.8">
      <c r="A686" s="6"/>
      <c r="B686" s="54"/>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6.8">
      <c r="A687" s="6"/>
      <c r="B687" s="54"/>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6.8">
      <c r="A688" s="6"/>
      <c r="B688" s="54"/>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6.8">
      <c r="A689" s="6"/>
      <c r="B689" s="54"/>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6.8">
      <c r="A690" s="6"/>
      <c r="B690" s="54"/>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6.8">
      <c r="A691" s="6"/>
      <c r="B691" s="54"/>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6.8">
      <c r="A692" s="6"/>
      <c r="B692" s="54"/>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6.8">
      <c r="A693" s="6"/>
      <c r="B693" s="54"/>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6.8">
      <c r="A694" s="6"/>
      <c r="B694" s="54"/>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6.8">
      <c r="A695" s="6"/>
      <c r="B695" s="54"/>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6.8">
      <c r="A696" s="6"/>
      <c r="B696" s="54"/>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6.8">
      <c r="A697" s="6"/>
      <c r="B697" s="54"/>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6.8">
      <c r="A698" s="6"/>
      <c r="B698" s="54"/>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6.8">
      <c r="A699" s="6"/>
      <c r="B699" s="54"/>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6.8">
      <c r="A700" s="6"/>
      <c r="B700" s="54"/>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6.8">
      <c r="A701" s="6"/>
      <c r="B701" s="54"/>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6.8">
      <c r="A702" s="6"/>
      <c r="B702" s="54"/>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6.8">
      <c r="A703" s="6"/>
      <c r="B703" s="54"/>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6.8">
      <c r="A704" s="6"/>
      <c r="B704" s="54"/>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6.8">
      <c r="A705" s="6"/>
      <c r="B705" s="54"/>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6.8">
      <c r="A706" s="6"/>
      <c r="B706" s="54"/>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6.8">
      <c r="A707" s="6"/>
      <c r="B707" s="54"/>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6.8">
      <c r="A708" s="6"/>
      <c r="B708" s="54"/>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6.8">
      <c r="A709" s="6"/>
      <c r="B709" s="54"/>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6.8">
      <c r="A710" s="6"/>
      <c r="B710" s="54"/>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6.8">
      <c r="A711" s="6"/>
      <c r="B711" s="54"/>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6.8">
      <c r="A712" s="6"/>
      <c r="B712" s="54"/>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6.8">
      <c r="A713" s="6"/>
      <c r="B713" s="54"/>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6.8">
      <c r="A714" s="6"/>
      <c r="B714" s="54"/>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6.8">
      <c r="A715" s="6"/>
      <c r="B715" s="54"/>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6.8">
      <c r="A716" s="6"/>
      <c r="B716" s="54"/>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6.8">
      <c r="A717" s="6"/>
      <c r="B717" s="54"/>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6.8">
      <c r="A718" s="6"/>
      <c r="B718" s="54"/>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6.8">
      <c r="A719" s="6"/>
      <c r="B719" s="54"/>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6.8">
      <c r="A720" s="6"/>
      <c r="B720" s="54"/>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6.8">
      <c r="A721" s="6"/>
      <c r="B721" s="54"/>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6.8">
      <c r="A722" s="6"/>
      <c r="B722" s="54"/>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6.8">
      <c r="A723" s="6"/>
      <c r="B723" s="54"/>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6.8">
      <c r="A724" s="6"/>
      <c r="B724" s="54"/>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6.8">
      <c r="A725" s="6"/>
      <c r="B725" s="54"/>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6.8">
      <c r="A726" s="6"/>
      <c r="B726" s="54"/>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6.8">
      <c r="A727" s="6"/>
      <c r="B727" s="54"/>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6.8">
      <c r="A728" s="6"/>
      <c r="B728" s="54"/>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6.8">
      <c r="A729" s="6"/>
      <c r="B729" s="54"/>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6.8">
      <c r="A730" s="6"/>
      <c r="B730" s="54"/>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6.8">
      <c r="A731" s="6"/>
      <c r="B731" s="54"/>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6.8">
      <c r="A732" s="6"/>
      <c r="B732" s="54"/>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6.8">
      <c r="A733" s="6"/>
      <c r="B733" s="54"/>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6.8">
      <c r="A734" s="6"/>
      <c r="B734" s="54"/>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6.8">
      <c r="A735" s="6"/>
      <c r="B735" s="54"/>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6.8">
      <c r="A736" s="6"/>
      <c r="B736" s="54"/>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6.8">
      <c r="A737" s="6"/>
      <c r="B737" s="54"/>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6.8">
      <c r="A738" s="6"/>
      <c r="B738" s="54"/>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6.8">
      <c r="A739" s="6"/>
      <c r="B739" s="54"/>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6.8">
      <c r="A740" s="6"/>
      <c r="B740" s="54"/>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6.8">
      <c r="A741" s="6"/>
      <c r="B741" s="54"/>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6.8">
      <c r="A742" s="6"/>
      <c r="B742" s="54"/>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6.8">
      <c r="A743" s="6"/>
      <c r="B743" s="54"/>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6.8">
      <c r="A744" s="6"/>
      <c r="B744" s="54"/>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6.8">
      <c r="A745" s="6"/>
      <c r="B745" s="54"/>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6.8">
      <c r="A746" s="6"/>
      <c r="B746" s="54"/>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6.8">
      <c r="A747" s="6"/>
      <c r="B747" s="54"/>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6.8">
      <c r="A748" s="6"/>
      <c r="B748" s="54"/>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6.8">
      <c r="A749" s="6"/>
      <c r="B749" s="54"/>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6.8">
      <c r="A750" s="6"/>
      <c r="B750" s="54"/>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6.8">
      <c r="A751" s="6"/>
      <c r="B751" s="54"/>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6.8">
      <c r="A752" s="6"/>
      <c r="B752" s="54"/>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6.8">
      <c r="A753" s="6"/>
      <c r="B753" s="54"/>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6.8">
      <c r="A754" s="6"/>
      <c r="B754" s="54"/>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6.8">
      <c r="A755" s="6"/>
      <c r="B755" s="54"/>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6.8">
      <c r="A756" s="6"/>
      <c r="B756" s="54"/>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6.8">
      <c r="A757" s="6"/>
      <c r="B757" s="54"/>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6.8">
      <c r="A758" s="6"/>
      <c r="B758" s="54"/>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6.8">
      <c r="A759" s="6"/>
      <c r="B759" s="54"/>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6.8">
      <c r="A760" s="6"/>
      <c r="B760" s="54"/>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6.8">
      <c r="A761" s="6"/>
      <c r="B761" s="54"/>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6.8">
      <c r="A762" s="6"/>
      <c r="B762" s="54"/>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6.8">
      <c r="A763" s="6"/>
      <c r="B763" s="54"/>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6.8">
      <c r="A764" s="6"/>
      <c r="B764" s="54"/>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6.8">
      <c r="A765" s="6"/>
      <c r="B765" s="54"/>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6.8">
      <c r="A766" s="6"/>
      <c r="B766" s="54"/>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6.8">
      <c r="A767" s="6"/>
      <c r="B767" s="54"/>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6.8">
      <c r="A768" s="6"/>
      <c r="B768" s="54"/>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6.8">
      <c r="A769" s="6"/>
      <c r="B769" s="54"/>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6.8">
      <c r="A770" s="6"/>
      <c r="B770" s="54"/>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6.8">
      <c r="A771" s="6"/>
      <c r="B771" s="54"/>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6.8">
      <c r="A772" s="6"/>
      <c r="B772" s="54"/>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6.8">
      <c r="A773" s="6"/>
      <c r="B773" s="54"/>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6.8">
      <c r="A774" s="6"/>
      <c r="B774" s="54"/>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6.8">
      <c r="A775" s="6"/>
      <c r="B775" s="54"/>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6.8">
      <c r="A776" s="6"/>
      <c r="B776" s="54"/>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6.8">
      <c r="A777" s="6"/>
      <c r="B777" s="54"/>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6.8">
      <c r="A778" s="6"/>
      <c r="B778" s="54"/>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6.8">
      <c r="A779" s="6"/>
      <c r="B779" s="54"/>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6.8">
      <c r="A780" s="6"/>
      <c r="B780" s="54"/>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6.8">
      <c r="A781" s="6"/>
      <c r="B781" s="54"/>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6.8">
      <c r="A782" s="6"/>
      <c r="B782" s="54"/>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6.8">
      <c r="A783" s="6"/>
      <c r="B783" s="54"/>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6.8">
      <c r="A784" s="6"/>
      <c r="B784" s="54"/>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6.8">
      <c r="A785" s="6"/>
      <c r="B785" s="54"/>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6.8">
      <c r="A786" s="6"/>
      <c r="B786" s="54"/>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6.8">
      <c r="A787" s="6"/>
      <c r="B787" s="54"/>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6.8">
      <c r="A788" s="6"/>
      <c r="B788" s="54"/>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6.8">
      <c r="A789" s="6"/>
      <c r="B789" s="54"/>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6.8">
      <c r="A790" s="6"/>
      <c r="B790" s="54"/>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6.8">
      <c r="A791" s="6"/>
      <c r="B791" s="54"/>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6.8">
      <c r="A792" s="6"/>
      <c r="B792" s="54"/>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6.8">
      <c r="A793" s="6"/>
      <c r="B793" s="54"/>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6.8">
      <c r="A794" s="6"/>
      <c r="B794" s="54"/>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6.8">
      <c r="A795" s="6"/>
      <c r="B795" s="54"/>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6.8">
      <c r="A796" s="6"/>
      <c r="B796" s="54"/>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6.8">
      <c r="A797" s="6"/>
      <c r="B797" s="54"/>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6.8">
      <c r="A798" s="6"/>
      <c r="B798" s="54"/>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6.8">
      <c r="A799" s="6"/>
      <c r="B799" s="54"/>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6.8">
      <c r="A800" s="6"/>
      <c r="B800" s="54"/>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6.8">
      <c r="A801" s="6"/>
      <c r="B801" s="54"/>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6.8">
      <c r="A802" s="6"/>
      <c r="B802" s="54"/>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6.8">
      <c r="A803" s="6"/>
      <c r="B803" s="54"/>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6.8">
      <c r="A804" s="6"/>
      <c r="B804" s="54"/>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6.8">
      <c r="A805" s="6"/>
      <c r="B805" s="54"/>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6.8">
      <c r="A806" s="6"/>
      <c r="B806" s="54"/>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6.8">
      <c r="A807" s="6"/>
      <c r="B807" s="54"/>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6.8">
      <c r="A808" s="6"/>
      <c r="B808" s="54"/>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6.8">
      <c r="A809" s="6"/>
      <c r="B809" s="54"/>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6.8">
      <c r="A810" s="6"/>
      <c r="B810" s="54"/>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6.8">
      <c r="A811" s="6"/>
      <c r="B811" s="54"/>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6.8">
      <c r="A812" s="6"/>
      <c r="B812" s="54"/>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6.8">
      <c r="A813" s="6"/>
      <c r="B813" s="54"/>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6.8">
      <c r="A814" s="6"/>
      <c r="B814" s="54"/>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6.8">
      <c r="A815" s="6"/>
      <c r="B815" s="54"/>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6.8">
      <c r="A816" s="6"/>
      <c r="B816" s="54"/>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6.8">
      <c r="A817" s="6"/>
      <c r="B817" s="54"/>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6.8">
      <c r="A818" s="6"/>
      <c r="B818" s="54"/>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6.8">
      <c r="A819" s="6"/>
      <c r="B819" s="54"/>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6.8">
      <c r="A820" s="6"/>
      <c r="B820" s="54"/>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6.8">
      <c r="A821" s="6"/>
      <c r="B821" s="54"/>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6.8">
      <c r="A822" s="6"/>
      <c r="B822" s="54"/>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6.8">
      <c r="A823" s="6"/>
      <c r="B823" s="54"/>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6.8">
      <c r="A824" s="6"/>
      <c r="B824" s="54"/>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6.8">
      <c r="A825" s="6"/>
      <c r="B825" s="54"/>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6.8">
      <c r="A826" s="6"/>
      <c r="B826" s="54"/>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6.8">
      <c r="A827" s="6"/>
      <c r="B827" s="54"/>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6.8">
      <c r="A828" s="6"/>
      <c r="B828" s="54"/>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6.8">
      <c r="A829" s="6"/>
      <c r="B829" s="54"/>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6.8">
      <c r="A830" s="6"/>
      <c r="B830" s="54"/>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6.8">
      <c r="A831" s="6"/>
      <c r="B831" s="54"/>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6.8">
      <c r="A832" s="6"/>
      <c r="B832" s="54"/>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6.8">
      <c r="A833" s="6"/>
      <c r="B833" s="54"/>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6.8">
      <c r="A834" s="6"/>
      <c r="B834" s="54"/>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6.8">
      <c r="A835" s="6"/>
      <c r="B835" s="54"/>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6.8">
      <c r="A836" s="6"/>
      <c r="B836" s="54"/>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6.8">
      <c r="A837" s="6"/>
      <c r="B837" s="54"/>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6.8">
      <c r="A838" s="6"/>
      <c r="B838" s="54"/>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6.8">
      <c r="A839" s="6"/>
      <c r="B839" s="54"/>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6.8">
      <c r="A840" s="6"/>
      <c r="B840" s="54"/>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6.8">
      <c r="A841" s="6"/>
      <c r="B841" s="54"/>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6.8">
      <c r="A842" s="6"/>
      <c r="B842" s="54"/>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6.8">
      <c r="A843" s="6"/>
      <c r="B843" s="54"/>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6.8">
      <c r="A844" s="6"/>
      <c r="B844" s="54"/>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6.8">
      <c r="A845" s="6"/>
      <c r="B845" s="54"/>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6.8">
      <c r="A846" s="6"/>
      <c r="B846" s="54"/>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6.8">
      <c r="A847" s="6"/>
      <c r="B847" s="54"/>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6.8">
      <c r="A848" s="6"/>
      <c r="B848" s="54"/>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6.8">
      <c r="A849" s="6"/>
      <c r="B849" s="54"/>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6.8">
      <c r="A850" s="6"/>
      <c r="B850" s="54"/>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6.8">
      <c r="A851" s="6"/>
      <c r="B851" s="54"/>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6.8">
      <c r="A852" s="6"/>
      <c r="B852" s="54"/>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6.8">
      <c r="A853" s="6"/>
      <c r="B853" s="54"/>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6.8">
      <c r="A854" s="6"/>
      <c r="B854" s="54"/>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6.8">
      <c r="A855" s="6"/>
      <c r="B855" s="54"/>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6.8">
      <c r="A856" s="6"/>
      <c r="B856" s="54"/>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6.8">
      <c r="A857" s="6"/>
      <c r="B857" s="54"/>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6.8">
      <c r="A858" s="6"/>
      <c r="B858" s="54"/>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6.8">
      <c r="A859" s="6"/>
      <c r="B859" s="54"/>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6.8">
      <c r="A860" s="6"/>
      <c r="B860" s="54"/>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6.8">
      <c r="A861" s="6"/>
      <c r="B861" s="54"/>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6.8">
      <c r="A862" s="6"/>
      <c r="B862" s="54"/>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6.8">
      <c r="A863" s="6"/>
      <c r="B863" s="54"/>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6.8">
      <c r="A864" s="6"/>
      <c r="B864" s="54"/>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6.8">
      <c r="A865" s="6"/>
      <c r="B865" s="54"/>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6.8">
      <c r="A866" s="6"/>
      <c r="B866" s="54"/>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6.8">
      <c r="A867" s="6"/>
      <c r="B867" s="54"/>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6.8">
      <c r="A868" s="6"/>
      <c r="B868" s="54"/>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6.8">
      <c r="A869" s="6"/>
      <c r="B869" s="54"/>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6.8">
      <c r="A870" s="6"/>
      <c r="B870" s="54"/>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6.8">
      <c r="A871" s="6"/>
      <c r="B871" s="54"/>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6.8">
      <c r="A872" s="6"/>
      <c r="B872" s="54"/>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6.8">
      <c r="A873" s="6"/>
      <c r="B873" s="54"/>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6.8">
      <c r="A874" s="6"/>
      <c r="B874" s="54"/>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6.8">
      <c r="A875" s="6"/>
      <c r="B875" s="54"/>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6.8">
      <c r="A876" s="6"/>
      <c r="B876" s="54"/>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6.8">
      <c r="A877" s="6"/>
      <c r="B877" s="54"/>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6.8">
      <c r="A878" s="6"/>
      <c r="B878" s="54"/>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6.8">
      <c r="A879" s="6"/>
      <c r="B879" s="54"/>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6.8">
      <c r="A880" s="6"/>
      <c r="B880" s="54"/>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6.8">
      <c r="A881" s="6"/>
      <c r="B881" s="54"/>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6.8">
      <c r="A882" s="6"/>
      <c r="B882" s="54"/>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6.8">
      <c r="A883" s="6"/>
      <c r="B883" s="54"/>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6.8">
      <c r="A884" s="6"/>
      <c r="B884" s="54"/>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6.8">
      <c r="A885" s="6"/>
      <c r="B885" s="54"/>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6.8">
      <c r="A886" s="6"/>
      <c r="B886" s="54"/>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6.8">
      <c r="A887" s="6"/>
      <c r="B887" s="54"/>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6.8">
      <c r="A888" s="6"/>
      <c r="B888" s="54"/>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6.8">
      <c r="A889" s="6"/>
      <c r="B889" s="54"/>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6.8">
      <c r="A890" s="6"/>
      <c r="B890" s="54"/>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6.8">
      <c r="A891" s="6"/>
      <c r="B891" s="54"/>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6.8">
      <c r="A892" s="6"/>
      <c r="B892" s="54"/>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6.8">
      <c r="A893" s="6"/>
      <c r="B893" s="54"/>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6.8">
      <c r="A894" s="6"/>
      <c r="B894" s="54"/>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6.8">
      <c r="A895" s="6"/>
      <c r="B895" s="54"/>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6.8">
      <c r="A896" s="6"/>
      <c r="B896" s="54"/>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6.8">
      <c r="A897" s="6"/>
      <c r="B897" s="54"/>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6.8">
      <c r="A898" s="6"/>
      <c r="B898" s="54"/>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6.8">
      <c r="A899" s="6"/>
      <c r="B899" s="54"/>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6.8">
      <c r="A900" s="6"/>
      <c r="B900" s="54"/>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6.8">
      <c r="A901" s="6"/>
      <c r="B901" s="54"/>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6.8">
      <c r="A902" s="6"/>
      <c r="B902" s="54"/>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6.8">
      <c r="A903" s="6"/>
      <c r="B903" s="54"/>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6.8">
      <c r="A904" s="6"/>
      <c r="B904" s="54"/>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6.8">
      <c r="A905" s="6"/>
      <c r="B905" s="54"/>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6.8">
      <c r="A906" s="6"/>
      <c r="B906" s="54"/>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6.8">
      <c r="A907" s="6"/>
      <c r="B907" s="54"/>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6.8">
      <c r="A908" s="6"/>
      <c r="B908" s="54"/>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6.8">
      <c r="A909" s="6"/>
      <c r="B909" s="54"/>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6.8">
      <c r="A910" s="6"/>
      <c r="B910" s="54"/>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6.8">
      <c r="A911" s="6"/>
      <c r="B911" s="54"/>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6.8">
      <c r="A912" s="6"/>
      <c r="B912" s="54"/>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6.8">
      <c r="A913" s="6"/>
      <c r="B913" s="54"/>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6.8">
      <c r="A914" s="6"/>
      <c r="B914" s="54"/>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6.8">
      <c r="A915" s="6"/>
      <c r="B915" s="54"/>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6.8">
      <c r="A916" s="6"/>
      <c r="B916" s="54"/>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6.8">
      <c r="A917" s="6"/>
      <c r="B917" s="54"/>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6.8">
      <c r="A918" s="6"/>
      <c r="B918" s="54"/>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6.8">
      <c r="A919" s="6"/>
      <c r="B919" s="54"/>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6.8">
      <c r="A920" s="6"/>
      <c r="B920" s="54"/>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6.8">
      <c r="A921" s="6"/>
      <c r="B921" s="54"/>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6.8">
      <c r="A922" s="6"/>
      <c r="B922" s="54"/>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6.8">
      <c r="A923" s="6"/>
      <c r="B923" s="54"/>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6.8">
      <c r="A924" s="6"/>
      <c r="B924" s="54"/>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6.8">
      <c r="A925" s="6"/>
      <c r="B925" s="54"/>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6.8">
      <c r="A926" s="6"/>
      <c r="B926" s="54"/>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6.8">
      <c r="A927" s="6"/>
      <c r="B927" s="54"/>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6.8">
      <c r="A928" s="6"/>
      <c r="B928" s="54"/>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6.8">
      <c r="A929" s="6"/>
      <c r="B929" s="54"/>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6.8">
      <c r="A930" s="6"/>
      <c r="B930" s="54"/>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6.8">
      <c r="A931" s="6"/>
      <c r="B931" s="54"/>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6.8">
      <c r="A932" s="6"/>
      <c r="B932" s="54"/>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6.8">
      <c r="A933" s="6"/>
      <c r="B933" s="54"/>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6.8">
      <c r="A934" s="6"/>
      <c r="B934" s="54"/>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6.8">
      <c r="A935" s="6"/>
      <c r="B935" s="54"/>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6.8">
      <c r="A936" s="6"/>
      <c r="B936" s="54"/>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6.8">
      <c r="A937" s="6"/>
      <c r="B937" s="54"/>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6.8">
      <c r="A938" s="6"/>
      <c r="B938" s="54"/>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6.8">
      <c r="A939" s="6"/>
      <c r="B939" s="54"/>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6.8">
      <c r="A940" s="6"/>
      <c r="B940" s="54"/>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6.8">
      <c r="A941" s="6"/>
      <c r="B941" s="54"/>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6.8">
      <c r="A942" s="6"/>
      <c r="B942" s="54"/>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6.8">
      <c r="A943" s="6"/>
      <c r="B943" s="54"/>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6.8">
      <c r="A944" s="6"/>
      <c r="B944" s="54"/>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6.8">
      <c r="A945" s="6"/>
      <c r="B945" s="54"/>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6.8">
      <c r="A946" s="6"/>
      <c r="B946" s="54"/>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6.8">
      <c r="A947" s="6"/>
      <c r="B947" s="54"/>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6.8">
      <c r="A948" s="6"/>
      <c r="B948" s="54"/>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6.8">
      <c r="A949" s="6"/>
      <c r="B949" s="54"/>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6.8">
      <c r="A950" s="6"/>
      <c r="B950" s="54"/>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6.8">
      <c r="A951" s="6"/>
      <c r="B951" s="54"/>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6.8">
      <c r="A952" s="6"/>
      <c r="B952" s="54"/>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6.8">
      <c r="A953" s="6"/>
      <c r="B953" s="54"/>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6.8">
      <c r="A954" s="6"/>
      <c r="B954" s="54"/>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6.8">
      <c r="A955" s="6"/>
      <c r="B955" s="54"/>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6.8">
      <c r="A956" s="6"/>
      <c r="B956" s="54"/>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6.8">
      <c r="A957" s="6"/>
      <c r="B957" s="54"/>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6.8">
      <c r="A958" s="6"/>
      <c r="B958" s="54"/>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6.8">
      <c r="A959" s="6"/>
      <c r="B959" s="54"/>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6.8">
      <c r="A960" s="6"/>
      <c r="B960" s="54"/>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6.8">
      <c r="A961" s="6"/>
      <c r="B961" s="54"/>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6.8">
      <c r="A962" s="6"/>
      <c r="B962" s="54"/>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6.8">
      <c r="A963" s="6"/>
      <c r="B963" s="54"/>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6.8">
      <c r="A964" s="6"/>
      <c r="B964" s="54"/>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6.8">
      <c r="A965" s="6"/>
      <c r="B965" s="54"/>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6.8">
      <c r="A966" s="6"/>
      <c r="B966" s="54"/>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6.8">
      <c r="A967" s="6"/>
      <c r="B967" s="54"/>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6.8">
      <c r="A968" s="6"/>
      <c r="B968" s="54"/>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6.8">
      <c r="A969" s="6"/>
      <c r="B969" s="54"/>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6.8">
      <c r="A970" s="6"/>
      <c r="B970" s="54"/>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6.8">
      <c r="A971" s="6"/>
      <c r="B971" s="54"/>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6.8">
      <c r="A972" s="6"/>
      <c r="B972" s="54"/>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6.8">
      <c r="A973" s="6"/>
      <c r="B973" s="54"/>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6.8">
      <c r="A974" s="6"/>
      <c r="B974" s="54"/>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6.8">
      <c r="A975" s="6"/>
      <c r="B975" s="54"/>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6.8">
      <c r="A976" s="6"/>
      <c r="B976" s="54"/>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6.8">
      <c r="A977" s="6"/>
      <c r="B977" s="54"/>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6.8">
      <c r="A978" s="6"/>
      <c r="B978" s="54"/>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6.8">
      <c r="A979" s="6"/>
      <c r="B979" s="54"/>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6.8">
      <c r="A980" s="6"/>
      <c r="B980" s="54"/>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6.8">
      <c r="A981" s="6"/>
      <c r="B981" s="54"/>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6.8">
      <c r="A982" s="6"/>
      <c r="B982" s="54"/>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6.8">
      <c r="A983" s="6"/>
      <c r="B983" s="54"/>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6.8">
      <c r="A984" s="6"/>
      <c r="B984" s="54"/>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6.8">
      <c r="A985" s="6"/>
      <c r="B985" s="54"/>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6.8">
      <c r="A986" s="6"/>
      <c r="B986" s="54"/>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6.8">
      <c r="A987" s="6"/>
      <c r="B987" s="54"/>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6.8">
      <c r="A988" s="6"/>
      <c r="B988" s="54"/>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6.8">
      <c r="A989" s="6"/>
      <c r="B989" s="54"/>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6.8">
      <c r="A990" s="6"/>
      <c r="B990" s="54"/>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6.8">
      <c r="A991" s="6"/>
      <c r="B991" s="54"/>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6.8">
      <c r="A992" s="6"/>
      <c r="B992" s="54"/>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6.8">
      <c r="A993" s="6"/>
      <c r="B993" s="54"/>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6.8">
      <c r="A994" s="6"/>
      <c r="B994" s="54"/>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6.8">
      <c r="A995" s="6"/>
      <c r="B995" s="54"/>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6.8">
      <c r="A996" s="6"/>
      <c r="B996" s="54"/>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6.8">
      <c r="A997" s="6"/>
      <c r="B997" s="54"/>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6.8">
      <c r="A998" s="6"/>
      <c r="B998" s="54"/>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6.8">
      <c r="A999" s="6"/>
      <c r="B999" s="54"/>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6.8">
      <c r="A1000" s="6"/>
      <c r="B1000" s="54"/>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6.8">
      <c r="A1001" s="6"/>
      <c r="B1001" s="54"/>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6.8">
      <c r="A1002" s="6"/>
      <c r="B1002" s="54"/>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6.8">
      <c r="A1003" s="6"/>
      <c r="B1003" s="54"/>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6.8">
      <c r="A1004" s="6"/>
      <c r="B1004" s="54"/>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6.8">
      <c r="A1005" s="6"/>
      <c r="B1005" s="54"/>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6.8">
      <c r="A1006" s="6"/>
      <c r="B1006" s="54"/>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6.8">
      <c r="A1007" s="6"/>
      <c r="B1007" s="54"/>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sheetData>
  <mergeCells count="47">
    <mergeCell ref="J70:K70"/>
    <mergeCell ref="L70:M70"/>
    <mergeCell ref="N70:O70"/>
    <mergeCell ref="P70:P71"/>
    <mergeCell ref="I64:I65"/>
    <mergeCell ref="J64:J65"/>
    <mergeCell ref="B69:P69"/>
    <mergeCell ref="B70:B71"/>
    <mergeCell ref="C70:C71"/>
    <mergeCell ref="D70:D71"/>
    <mergeCell ref="E70:E71"/>
    <mergeCell ref="G64:G65"/>
    <mergeCell ref="H64:H65"/>
    <mergeCell ref="F70:G70"/>
    <mergeCell ref="H70:I70"/>
    <mergeCell ref="B74:C74"/>
    <mergeCell ref="B3:F4"/>
    <mergeCell ref="C5:D5"/>
    <mergeCell ref="C6:D6"/>
    <mergeCell ref="C7:D7"/>
    <mergeCell ref="C8:D8"/>
    <mergeCell ref="C9:D9"/>
    <mergeCell ref="C10:D10"/>
    <mergeCell ref="B18:C18"/>
    <mergeCell ref="B11:D11"/>
    <mergeCell ref="B14:F14"/>
    <mergeCell ref="B31:F31"/>
    <mergeCell ref="B32:F32"/>
    <mergeCell ref="E64:E65"/>
    <mergeCell ref="F64:F65"/>
    <mergeCell ref="B53:K53"/>
    <mergeCell ref="J15:P15"/>
    <mergeCell ref="J19:N19"/>
    <mergeCell ref="B21:H21"/>
    <mergeCell ref="J22:P22"/>
    <mergeCell ref="J29:N29"/>
    <mergeCell ref="J32:N32"/>
    <mergeCell ref="B35:K35"/>
    <mergeCell ref="O46:Q46"/>
    <mergeCell ref="O51:P52"/>
    <mergeCell ref="Q51:Q52"/>
    <mergeCell ref="B50:C50"/>
    <mergeCell ref="B59:C59"/>
    <mergeCell ref="B63:J63"/>
    <mergeCell ref="B64:B65"/>
    <mergeCell ref="C64:C65"/>
    <mergeCell ref="D64:D65"/>
  </mergeCells>
  <hyperlinks>
    <hyperlink ref="F16" r:id="rId1" xr:uid="{00000000-0004-0000-0300-000000000000}"/>
    <hyperlink ref="F17" r:id="rId2" xr:uid="{00000000-0004-0000-0300-000001000000}"/>
    <hyperlink ref="H23" r:id="rId3" xr:uid="{00000000-0004-0000-0300-000002000000}"/>
    <hyperlink ref="H24" r:id="rId4" xr:uid="{00000000-0004-0000-0300-000003000000}"/>
    <hyperlink ref="P24" r:id="rId5" xr:uid="{00000000-0004-0000-0300-000004000000}"/>
    <hyperlink ref="H25" r:id="rId6" xr:uid="{00000000-0004-0000-0300-000005000000}"/>
    <hyperlink ref="P25" r:id="rId7" xr:uid="{00000000-0004-0000-0300-000006000000}"/>
    <hyperlink ref="H26" r:id="rId8" xr:uid="{00000000-0004-0000-0300-000007000000}"/>
    <hyperlink ref="P26" r:id="rId9" xr:uid="{00000000-0004-0000-0300-000008000000}"/>
    <hyperlink ref="H27" r:id="rId10" xr:uid="{00000000-0004-0000-0300-000009000000}"/>
    <hyperlink ref="H28" r:id="rId11" xr:uid="{00000000-0004-0000-0300-00000A000000}"/>
    <hyperlink ref="P28" r:id="rId12" xr:uid="{00000000-0004-0000-0300-00000B000000}"/>
    <hyperlink ref="H29" r:id="rId13" xr:uid="{00000000-0004-0000-0300-00000C000000}"/>
    <hyperlink ref="H30" r:id="rId14" xr:uid="{00000000-0004-0000-0300-00000D000000}"/>
    <hyperlink ref="K50" r:id="rId15" xr:uid="{00000000-0004-0000-0300-00000E000000}"/>
    <hyperlink ref="P72" r:id="rId16" xr:uid="{00000000-0004-0000-0300-00000F000000}"/>
    <hyperlink ref="P73" r:id="rId17" xr:uid="{00000000-0004-0000-0300-000010000000}"/>
  </hyperlink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9"/>
  <sheetViews>
    <sheetView workbookViewId="0"/>
  </sheetViews>
  <sheetFormatPr defaultColWidth="12.6640625" defaultRowHeight="15.75" customHeight="1"/>
  <cols>
    <col min="1" max="1" width="86.77734375" customWidth="1"/>
    <col min="2" max="2" width="46.88671875" customWidth="1"/>
    <col min="3" max="3" width="73.21875" customWidth="1"/>
    <col min="18" max="18" width="15.88671875" customWidth="1"/>
  </cols>
  <sheetData>
    <row r="1" spans="1:18" ht="15.75" customHeight="1">
      <c r="A1" s="299" t="s">
        <v>103</v>
      </c>
      <c r="B1" s="259"/>
      <c r="C1" s="82"/>
      <c r="D1" s="82"/>
      <c r="E1" s="82"/>
    </row>
    <row r="2" spans="1:18" ht="15.75" customHeight="1">
      <c r="A2" s="300" t="s">
        <v>118</v>
      </c>
      <c r="B2" s="259"/>
      <c r="C2" s="86" t="s">
        <v>121</v>
      </c>
      <c r="D2" s="88"/>
      <c r="E2" s="88"/>
    </row>
    <row r="3" spans="1:18" ht="15.75" customHeight="1">
      <c r="A3" s="90" t="s">
        <v>123</v>
      </c>
      <c r="B3" s="91">
        <v>0.01</v>
      </c>
      <c r="C3" s="88"/>
      <c r="D3" s="88"/>
      <c r="E3" s="88"/>
    </row>
    <row r="4" spans="1:18" ht="15.75" customHeight="1">
      <c r="A4" s="90" t="s">
        <v>130</v>
      </c>
      <c r="B4" s="91">
        <v>0</v>
      </c>
      <c r="C4" s="88"/>
      <c r="D4" s="88"/>
      <c r="E4" s="88"/>
    </row>
    <row r="5" spans="1:18" ht="15.75" customHeight="1">
      <c r="A5" s="90" t="s">
        <v>132</v>
      </c>
      <c r="B5" s="91">
        <v>0.01</v>
      </c>
      <c r="C5" s="88"/>
      <c r="D5" s="88"/>
      <c r="E5" s="88"/>
    </row>
    <row r="12" spans="1:18" ht="15.75" customHeight="1">
      <c r="A12" s="98" t="s">
        <v>8</v>
      </c>
      <c r="B12" s="98" t="s">
        <v>104</v>
      </c>
      <c r="C12" s="98" t="s">
        <v>105</v>
      </c>
      <c r="D12" s="98" t="s">
        <v>106</v>
      </c>
      <c r="E12" s="98" t="s">
        <v>107</v>
      </c>
      <c r="F12" s="98" t="s">
        <v>108</v>
      </c>
      <c r="G12" s="98" t="s">
        <v>109</v>
      </c>
      <c r="H12" s="98" t="s">
        <v>110</v>
      </c>
      <c r="I12" s="98" t="s">
        <v>111</v>
      </c>
      <c r="J12" s="98" t="s">
        <v>112</v>
      </c>
      <c r="K12" s="98" t="s">
        <v>113</v>
      </c>
      <c r="L12" s="98" t="s">
        <v>114</v>
      </c>
      <c r="M12" s="98" t="s">
        <v>115</v>
      </c>
      <c r="N12" s="98" t="s">
        <v>116</v>
      </c>
      <c r="O12" s="98" t="s">
        <v>141</v>
      </c>
      <c r="P12" s="98" t="s">
        <v>143</v>
      </c>
      <c r="Q12" s="98" t="s">
        <v>144</v>
      </c>
      <c r="R12" s="98" t="s">
        <v>145</v>
      </c>
    </row>
    <row r="13" spans="1:18" ht="15.75" customHeight="1">
      <c r="A13" s="99" t="s">
        <v>146</v>
      </c>
      <c r="B13" s="104">
        <f>'Dự toán báo cáo thu nhập'!B3</f>
        <v>61200000</v>
      </c>
      <c r="C13" s="104">
        <f>'Dự toán báo cáo thu nhập'!C3</f>
        <v>66300000</v>
      </c>
      <c r="D13" s="104">
        <f>'Dự toán báo cáo thu nhập'!D3</f>
        <v>66300000</v>
      </c>
      <c r="E13" s="104">
        <f>'Dự toán báo cáo thu nhập'!E3</f>
        <v>66300000</v>
      </c>
      <c r="F13" s="104">
        <f>'Dự toán báo cáo thu nhập'!F3</f>
        <v>66300000</v>
      </c>
      <c r="G13" s="104">
        <f>'Dự toán báo cáo thu nhập'!G3</f>
        <v>66300000</v>
      </c>
      <c r="H13" s="104">
        <f>'Dự toán báo cáo thu nhập'!H3</f>
        <v>66300000</v>
      </c>
      <c r="I13" s="104">
        <f>'Dự toán báo cáo thu nhập'!I3</f>
        <v>66300000</v>
      </c>
      <c r="J13" s="104">
        <f>'Dự toán báo cáo thu nhập'!J3</f>
        <v>66300000</v>
      </c>
      <c r="K13" s="104">
        <f>'Dự toán báo cáo thu nhập'!K3</f>
        <v>66300000</v>
      </c>
      <c r="L13" s="104">
        <f>'Dự toán báo cáo thu nhập'!L3</f>
        <v>66300000</v>
      </c>
      <c r="M13" s="104">
        <f>'Dự toán báo cáo thu nhập'!M3</f>
        <v>66300000</v>
      </c>
      <c r="N13" s="104">
        <f>'Dự toán báo cáo thu nhập'!N3</f>
        <v>790500000</v>
      </c>
      <c r="O13" s="104">
        <f>'Dự toán báo cáo thu nhập'!O3</f>
        <v>893264999.99999988</v>
      </c>
      <c r="P13" s="104">
        <f>'Dự toán báo cáo thu nhập'!P3</f>
        <v>1009389449.9999998</v>
      </c>
      <c r="Q13" s="104">
        <f>'Dự toán báo cáo thu nhập'!Q3</f>
        <v>1140610078.4999995</v>
      </c>
      <c r="R13" s="104">
        <f>'Dự toán báo cáo thu nhập'!R3</f>
        <v>1288889388.7049994</v>
      </c>
    </row>
    <row r="14" spans="1:18" ht="15.75" customHeight="1">
      <c r="A14" s="99" t="s">
        <v>176</v>
      </c>
      <c r="B14" s="104">
        <f>'Dự toán báo cáo thu nhập'!B4</f>
        <v>2000000</v>
      </c>
      <c r="C14" s="104">
        <v>0</v>
      </c>
      <c r="D14" s="104">
        <v>0</v>
      </c>
      <c r="E14" s="104">
        <v>0</v>
      </c>
      <c r="F14" s="104">
        <v>0</v>
      </c>
      <c r="G14" s="104">
        <v>0</v>
      </c>
      <c r="H14" s="104">
        <v>0</v>
      </c>
      <c r="I14" s="104">
        <v>0</v>
      </c>
      <c r="J14" s="104">
        <v>0</v>
      </c>
      <c r="K14" s="104">
        <v>0</v>
      </c>
      <c r="L14" s="104">
        <v>0</v>
      </c>
      <c r="M14" s="104">
        <v>0</v>
      </c>
      <c r="N14" s="104">
        <f>'Dự toán báo cáo thu nhập'!N4</f>
        <v>2000000</v>
      </c>
      <c r="O14" s="104">
        <v>0</v>
      </c>
      <c r="P14" s="104">
        <v>0</v>
      </c>
      <c r="Q14" s="104">
        <v>0</v>
      </c>
      <c r="R14" s="104">
        <v>0</v>
      </c>
    </row>
    <row r="15" spans="1:18" ht="15.75" customHeight="1">
      <c r="A15" s="124" t="s">
        <v>183</v>
      </c>
      <c r="B15" s="126">
        <f t="shared" ref="B15:R15" si="0">MAX(0,B13-B14)</f>
        <v>59200000</v>
      </c>
      <c r="C15" s="126">
        <f t="shared" si="0"/>
        <v>66300000</v>
      </c>
      <c r="D15" s="126">
        <f t="shared" si="0"/>
        <v>66300000</v>
      </c>
      <c r="E15" s="126">
        <f t="shared" si="0"/>
        <v>66300000</v>
      </c>
      <c r="F15" s="126">
        <f t="shared" si="0"/>
        <v>66300000</v>
      </c>
      <c r="G15" s="126">
        <f t="shared" si="0"/>
        <v>66300000</v>
      </c>
      <c r="H15" s="126">
        <f t="shared" si="0"/>
        <v>66300000</v>
      </c>
      <c r="I15" s="126">
        <f t="shared" si="0"/>
        <v>66300000</v>
      </c>
      <c r="J15" s="126">
        <f t="shared" si="0"/>
        <v>66300000</v>
      </c>
      <c r="K15" s="126">
        <f t="shared" si="0"/>
        <v>66300000</v>
      </c>
      <c r="L15" s="126">
        <f t="shared" si="0"/>
        <v>66300000</v>
      </c>
      <c r="M15" s="126">
        <f t="shared" si="0"/>
        <v>66300000</v>
      </c>
      <c r="N15" s="126">
        <f t="shared" si="0"/>
        <v>788500000</v>
      </c>
      <c r="O15" s="126">
        <f t="shared" si="0"/>
        <v>893264999.99999988</v>
      </c>
      <c r="P15" s="126">
        <f t="shared" si="0"/>
        <v>1009389449.9999998</v>
      </c>
      <c r="Q15" s="126">
        <f t="shared" si="0"/>
        <v>1140610078.4999995</v>
      </c>
      <c r="R15" s="126">
        <f t="shared" si="0"/>
        <v>1288889388.7049994</v>
      </c>
    </row>
    <row r="16" spans="1:18" ht="15.75" customHeight="1">
      <c r="A16" s="99" t="s">
        <v>187</v>
      </c>
      <c r="B16" s="127">
        <v>0.01</v>
      </c>
      <c r="C16" s="127">
        <v>0.01</v>
      </c>
      <c r="D16" s="127">
        <v>0.01</v>
      </c>
      <c r="E16" s="127">
        <v>0.01</v>
      </c>
      <c r="F16" s="127">
        <v>0.01</v>
      </c>
      <c r="G16" s="127">
        <v>0.01</v>
      </c>
      <c r="H16" s="127">
        <v>0.01</v>
      </c>
      <c r="I16" s="127">
        <v>0.01</v>
      </c>
      <c r="J16" s="127">
        <v>0.01</v>
      </c>
      <c r="K16" s="127">
        <v>0.01</v>
      </c>
      <c r="L16" s="127">
        <v>0.01</v>
      </c>
      <c r="M16" s="127">
        <v>0.01</v>
      </c>
      <c r="N16" s="127">
        <v>0.01</v>
      </c>
      <c r="O16" s="127">
        <v>0.01</v>
      </c>
      <c r="P16" s="127">
        <v>0.01</v>
      </c>
      <c r="Q16" s="127">
        <v>0.01</v>
      </c>
      <c r="R16" s="127">
        <v>0.01</v>
      </c>
    </row>
    <row r="17" spans="1:18" ht="15.75" customHeight="1">
      <c r="A17" s="124" t="s">
        <v>189</v>
      </c>
      <c r="B17" s="126">
        <f t="shared" ref="B17:R17" si="1">B15*B16</f>
        <v>592000</v>
      </c>
      <c r="C17" s="126">
        <f t="shared" si="1"/>
        <v>663000</v>
      </c>
      <c r="D17" s="126">
        <f t="shared" si="1"/>
        <v>663000</v>
      </c>
      <c r="E17" s="126">
        <f t="shared" si="1"/>
        <v>663000</v>
      </c>
      <c r="F17" s="126">
        <f t="shared" si="1"/>
        <v>663000</v>
      </c>
      <c r="G17" s="126">
        <f t="shared" si="1"/>
        <v>663000</v>
      </c>
      <c r="H17" s="126">
        <f t="shared" si="1"/>
        <v>663000</v>
      </c>
      <c r="I17" s="126">
        <f t="shared" si="1"/>
        <v>663000</v>
      </c>
      <c r="J17" s="126">
        <f t="shared" si="1"/>
        <v>663000</v>
      </c>
      <c r="K17" s="126">
        <f t="shared" si="1"/>
        <v>663000</v>
      </c>
      <c r="L17" s="126">
        <f t="shared" si="1"/>
        <v>663000</v>
      </c>
      <c r="M17" s="126">
        <f t="shared" si="1"/>
        <v>663000</v>
      </c>
      <c r="N17" s="126">
        <f t="shared" si="1"/>
        <v>7885000</v>
      </c>
      <c r="O17" s="126">
        <f t="shared" si="1"/>
        <v>8932649.9999999981</v>
      </c>
      <c r="P17" s="126">
        <f t="shared" si="1"/>
        <v>10093894.499999998</v>
      </c>
      <c r="Q17" s="126">
        <f t="shared" si="1"/>
        <v>11406100.784999995</v>
      </c>
      <c r="R17" s="126">
        <f t="shared" si="1"/>
        <v>12888893.887049995</v>
      </c>
    </row>
    <row r="18" spans="1:18" ht="15.75" customHeight="1">
      <c r="A18" s="124" t="s">
        <v>194</v>
      </c>
      <c r="B18" s="126">
        <f t="shared" ref="B18:R18" si="2">B15-B17</f>
        <v>58608000</v>
      </c>
      <c r="C18" s="126">
        <f t="shared" si="2"/>
        <v>65637000</v>
      </c>
      <c r="D18" s="126">
        <f t="shared" si="2"/>
        <v>65637000</v>
      </c>
      <c r="E18" s="126">
        <f t="shared" si="2"/>
        <v>65637000</v>
      </c>
      <c r="F18" s="126">
        <f t="shared" si="2"/>
        <v>65637000</v>
      </c>
      <c r="G18" s="126">
        <f t="shared" si="2"/>
        <v>65637000</v>
      </c>
      <c r="H18" s="126">
        <f t="shared" si="2"/>
        <v>65637000</v>
      </c>
      <c r="I18" s="126">
        <f t="shared" si="2"/>
        <v>65637000</v>
      </c>
      <c r="J18" s="126">
        <f t="shared" si="2"/>
        <v>65637000</v>
      </c>
      <c r="K18" s="126">
        <f t="shared" si="2"/>
        <v>65637000</v>
      </c>
      <c r="L18" s="126">
        <f t="shared" si="2"/>
        <v>65637000</v>
      </c>
      <c r="M18" s="126">
        <f t="shared" si="2"/>
        <v>65637000</v>
      </c>
      <c r="N18" s="126">
        <f t="shared" si="2"/>
        <v>780615000</v>
      </c>
      <c r="O18" s="126">
        <f t="shared" si="2"/>
        <v>884332349.99999988</v>
      </c>
      <c r="P18" s="126">
        <f t="shared" si="2"/>
        <v>999295555.49999976</v>
      </c>
      <c r="Q18" s="126">
        <f t="shared" si="2"/>
        <v>1129203977.7149994</v>
      </c>
      <c r="R18" s="126">
        <f t="shared" si="2"/>
        <v>1276000494.8179495</v>
      </c>
    </row>
    <row r="19" spans="1:18" ht="15.75" customHeight="1">
      <c r="A19" s="99" t="s">
        <v>198</v>
      </c>
      <c r="B19" s="135">
        <v>0</v>
      </c>
      <c r="C19" s="135">
        <v>0</v>
      </c>
      <c r="D19" s="135">
        <v>0</v>
      </c>
      <c r="E19" s="135">
        <v>0</v>
      </c>
      <c r="F19" s="135">
        <v>0</v>
      </c>
      <c r="G19" s="135">
        <v>0</v>
      </c>
      <c r="H19" s="135">
        <v>0</v>
      </c>
      <c r="I19" s="135">
        <v>0</v>
      </c>
      <c r="J19" s="135">
        <v>0</v>
      </c>
      <c r="K19" s="135">
        <v>0</v>
      </c>
      <c r="L19" s="135">
        <v>0</v>
      </c>
      <c r="M19" s="135">
        <v>0</v>
      </c>
      <c r="N19" s="135">
        <v>0</v>
      </c>
      <c r="O19" s="135">
        <v>0</v>
      </c>
      <c r="P19" s="135">
        <v>0</v>
      </c>
      <c r="Q19" s="135">
        <v>0</v>
      </c>
      <c r="R19" s="135">
        <v>0</v>
      </c>
    </row>
  </sheetData>
  <mergeCells count="2">
    <mergeCell ref="A1:B1"/>
    <mergeCell ref="A2:B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1"/>
  <sheetViews>
    <sheetView workbookViewId="0"/>
  </sheetViews>
  <sheetFormatPr defaultColWidth="12.6640625" defaultRowHeight="15.75" customHeight="1"/>
  <cols>
    <col min="1" max="1" width="45.109375" customWidth="1"/>
    <col min="2" max="2" width="11.88671875" customWidth="1"/>
    <col min="20" max="20" width="61.88671875" customWidth="1"/>
    <col min="21" max="21" width="19.88671875" customWidth="1"/>
  </cols>
  <sheetData>
    <row r="1" spans="1:21" ht="15.75" customHeight="1">
      <c r="A1" s="301" t="s">
        <v>222</v>
      </c>
      <c r="B1" s="273"/>
      <c r="C1" s="273"/>
      <c r="D1" s="273"/>
      <c r="E1" s="273"/>
      <c r="F1" s="273"/>
      <c r="G1" s="273"/>
      <c r="H1" s="273"/>
      <c r="I1" s="273"/>
      <c r="J1" s="273"/>
      <c r="K1" s="273"/>
      <c r="L1" s="273"/>
      <c r="M1" s="273"/>
      <c r="N1" s="273"/>
      <c r="O1" s="273"/>
      <c r="P1" s="273"/>
      <c r="Q1" s="273"/>
      <c r="R1" s="259"/>
    </row>
    <row r="2" spans="1:21" ht="15.75" customHeight="1">
      <c r="A2" s="170"/>
      <c r="B2" s="172" t="s">
        <v>104</v>
      </c>
      <c r="C2" s="172" t="s">
        <v>105</v>
      </c>
      <c r="D2" s="172" t="s">
        <v>106</v>
      </c>
      <c r="E2" s="172" t="s">
        <v>107</v>
      </c>
      <c r="F2" s="172" t="s">
        <v>108</v>
      </c>
      <c r="G2" s="172" t="s">
        <v>109</v>
      </c>
      <c r="H2" s="172" t="s">
        <v>110</v>
      </c>
      <c r="I2" s="172" t="s">
        <v>111</v>
      </c>
      <c r="J2" s="172" t="s">
        <v>112</v>
      </c>
      <c r="K2" s="172" t="s">
        <v>113</v>
      </c>
      <c r="L2" s="172" t="s">
        <v>114</v>
      </c>
      <c r="M2" s="172" t="s">
        <v>115</v>
      </c>
      <c r="N2" s="172" t="s">
        <v>116</v>
      </c>
      <c r="O2" s="172" t="s">
        <v>141</v>
      </c>
      <c r="P2" s="172" t="s">
        <v>143</v>
      </c>
      <c r="Q2" s="172" t="s">
        <v>144</v>
      </c>
      <c r="R2" s="172" t="s">
        <v>145</v>
      </c>
      <c r="T2" s="98" t="s">
        <v>227</v>
      </c>
      <c r="U2" s="98" t="s">
        <v>228</v>
      </c>
    </row>
    <row r="3" spans="1:21" ht="15.75" customHeight="1">
      <c r="A3" s="175" t="s">
        <v>229</v>
      </c>
      <c r="B3" s="176">
        <f>'Giả định doanh thu'!C39</f>
        <v>61200000</v>
      </c>
      <c r="C3" s="176">
        <f>'Giả định doanh thu'!D39</f>
        <v>66300000</v>
      </c>
      <c r="D3" s="176">
        <f>'Giả định doanh thu'!E39</f>
        <v>66300000</v>
      </c>
      <c r="E3" s="176">
        <f>'Giả định doanh thu'!F39</f>
        <v>66300000</v>
      </c>
      <c r="F3" s="176">
        <f>'Giả định doanh thu'!G39</f>
        <v>66300000</v>
      </c>
      <c r="G3" s="176">
        <f>'Giả định doanh thu'!H39</f>
        <v>66300000</v>
      </c>
      <c r="H3" s="176">
        <f>'Giả định doanh thu'!I41</f>
        <v>66300000</v>
      </c>
      <c r="I3" s="176">
        <f>'Giả định doanh thu'!J41</f>
        <v>66300000</v>
      </c>
      <c r="J3" s="176">
        <f>'Giả định doanh thu'!K41</f>
        <v>66300000</v>
      </c>
      <c r="K3" s="176">
        <f>'Giả định doanh thu'!L41</f>
        <v>66300000</v>
      </c>
      <c r="L3" s="176">
        <f>'Giả định doanh thu'!M41</f>
        <v>66300000</v>
      </c>
      <c r="M3" s="176">
        <f>'Giả định doanh thu'!N41</f>
        <v>66300000</v>
      </c>
      <c r="N3" s="176">
        <f>'Giả định doanh thu'!O41</f>
        <v>790500000</v>
      </c>
      <c r="O3" s="176">
        <f>'Giả định doanh thu'!D58</f>
        <v>893264999.99999988</v>
      </c>
      <c r="P3" s="176">
        <f>'Giả định doanh thu'!E58</f>
        <v>1009389449.9999998</v>
      </c>
      <c r="Q3" s="176">
        <f>'Giả định doanh thu'!F58</f>
        <v>1140610078.4999995</v>
      </c>
      <c r="R3" s="176">
        <f>'Giả định doanh thu'!G58</f>
        <v>1288889388.7049994</v>
      </c>
      <c r="T3" s="184">
        <v>0.15</v>
      </c>
      <c r="U3" s="184">
        <v>0.05</v>
      </c>
    </row>
    <row r="4" spans="1:21" ht="15.75" customHeight="1">
      <c r="A4" s="185" t="s">
        <v>243</v>
      </c>
      <c r="B4" s="186">
        <f>'Giả định doanh thu'!C40</f>
        <v>2000000</v>
      </c>
      <c r="C4" s="187">
        <v>0</v>
      </c>
      <c r="D4" s="187">
        <v>0</v>
      </c>
      <c r="E4" s="187">
        <v>0</v>
      </c>
      <c r="F4" s="187">
        <v>0</v>
      </c>
      <c r="G4" s="187">
        <v>0</v>
      </c>
      <c r="H4" s="187">
        <v>0</v>
      </c>
      <c r="I4" s="187">
        <v>0</v>
      </c>
      <c r="J4" s="187">
        <v>0</v>
      </c>
      <c r="K4" s="187">
        <v>0</v>
      </c>
      <c r="L4" s="187">
        <v>0</v>
      </c>
      <c r="M4" s="187">
        <v>0</v>
      </c>
      <c r="N4" s="186">
        <f>'Giả định doanh thu'!C59</f>
        <v>2000000</v>
      </c>
      <c r="O4" s="187">
        <v>0</v>
      </c>
      <c r="P4" s="187">
        <v>0</v>
      </c>
      <c r="Q4" s="187">
        <v>0</v>
      </c>
      <c r="R4" s="187">
        <v>0</v>
      </c>
      <c r="T4" s="86"/>
      <c r="U4" s="190"/>
    </row>
    <row r="5" spans="1:21" ht="15.75" customHeight="1">
      <c r="A5" s="175" t="s">
        <v>157</v>
      </c>
      <c r="B5" s="176">
        <f>B3-B4-'Dự toán thuế GTGT'!B17</f>
        <v>58608000</v>
      </c>
      <c r="C5" s="176">
        <f>C3-C4-'Dự toán thuế GTGT'!C17</f>
        <v>65637000</v>
      </c>
      <c r="D5" s="176">
        <f>D3-D4-'Dự toán thuế GTGT'!D17</f>
        <v>65637000</v>
      </c>
      <c r="E5" s="176">
        <f>E3-E4-'Dự toán thuế GTGT'!E17</f>
        <v>65637000</v>
      </c>
      <c r="F5" s="176">
        <f>F3-F4-'Dự toán thuế GTGT'!F17</f>
        <v>65637000</v>
      </c>
      <c r="G5" s="176">
        <f>G3-G4-'Dự toán thuế GTGT'!G17</f>
        <v>65637000</v>
      </c>
      <c r="H5" s="176">
        <f>H3-H4-'Dự toán thuế GTGT'!H17</f>
        <v>65637000</v>
      </c>
      <c r="I5" s="176">
        <f>I3-I4-'Dự toán thuế GTGT'!I17</f>
        <v>65637000</v>
      </c>
      <c r="J5" s="176">
        <f>J3-J4-'Dự toán thuế GTGT'!J17</f>
        <v>65637000</v>
      </c>
      <c r="K5" s="176">
        <f>K3-K4-'Dự toán thuế GTGT'!K17</f>
        <v>65637000</v>
      </c>
      <c r="L5" s="176">
        <f>L3-L4-'Dự toán thuế GTGT'!L17</f>
        <v>65637000</v>
      </c>
      <c r="M5" s="176">
        <f>M3-M4-'Dự toán thuế GTGT'!M17</f>
        <v>65637000</v>
      </c>
      <c r="N5" s="176">
        <f>N3-N4-'Dự toán thuế GTGT'!N17</f>
        <v>780615000</v>
      </c>
      <c r="O5" s="176">
        <f>O3-O4-'Dự toán thuế GTGT'!O17</f>
        <v>884332349.99999988</v>
      </c>
      <c r="P5" s="176">
        <f>P3-P4-'Dự toán thuế GTGT'!P17</f>
        <v>999295555.49999976</v>
      </c>
      <c r="Q5" s="176">
        <f>Q3-Q4-'Dự toán thuế GTGT'!Q17</f>
        <v>1129203977.7149994</v>
      </c>
      <c r="R5" s="176">
        <f>R3-R4-'Dự toán thuế GTGT'!R17</f>
        <v>1276000494.8179495</v>
      </c>
      <c r="T5" s="194"/>
      <c r="U5" s="194"/>
    </row>
    <row r="6" spans="1:21" ht="15.75" customHeight="1">
      <c r="A6" s="185" t="s">
        <v>266</v>
      </c>
      <c r="B6" s="186">
        <f>'Giả định doanh thu'!C48</f>
        <v>15420000</v>
      </c>
      <c r="C6" s="186">
        <f>'Giả định doanh thu'!D48</f>
        <v>16705000</v>
      </c>
      <c r="D6" s="186">
        <f>'Giả định doanh thu'!E48</f>
        <v>16705000</v>
      </c>
      <c r="E6" s="186">
        <f>'Giả định doanh thu'!F48</f>
        <v>16705000</v>
      </c>
      <c r="F6" s="186">
        <f>'Giả định doanh thu'!G48</f>
        <v>16705000</v>
      </c>
      <c r="G6" s="186">
        <f>'Giả định doanh thu'!H48</f>
        <v>16705000</v>
      </c>
      <c r="H6" s="186">
        <f>'Giả định doanh thu'!I48</f>
        <v>16705000</v>
      </c>
      <c r="I6" s="186">
        <f>'Giả định doanh thu'!J48</f>
        <v>16705000</v>
      </c>
      <c r="J6" s="186">
        <f>'Giả định doanh thu'!K48</f>
        <v>16705000</v>
      </c>
      <c r="K6" s="186">
        <f>'Giả định doanh thu'!L48</f>
        <v>16705000</v>
      </c>
      <c r="L6" s="186">
        <f>'Giả định doanh thu'!M48</f>
        <v>16705000</v>
      </c>
      <c r="M6" s="186">
        <f>'Giả định doanh thu'!N48</f>
        <v>16705000</v>
      </c>
      <c r="N6" s="186">
        <f>'Giả định doanh thu'!O48</f>
        <v>199175000</v>
      </c>
      <c r="O6" s="186">
        <f>'Giả định doanh thu'!D67</f>
        <v>225665275</v>
      </c>
      <c r="P6" s="186">
        <f>'Giả định doanh thu'!E67</f>
        <v>248231802.5</v>
      </c>
      <c r="Q6" s="186">
        <f>'Giả định doanh thu'!F67</f>
        <v>273054982.75</v>
      </c>
      <c r="R6" s="186">
        <f>'Giả định doanh thu'!G67</f>
        <v>300360481.02500004</v>
      </c>
      <c r="T6" s="199"/>
      <c r="U6" s="200"/>
    </row>
    <row r="7" spans="1:21" ht="15.75" customHeight="1">
      <c r="A7" s="185" t="s">
        <v>274</v>
      </c>
      <c r="B7" s="186">
        <f t="shared" ref="B7:R7" si="0">B6*3%</f>
        <v>462600</v>
      </c>
      <c r="C7" s="186">
        <f t="shared" si="0"/>
        <v>501150</v>
      </c>
      <c r="D7" s="186">
        <f t="shared" si="0"/>
        <v>501150</v>
      </c>
      <c r="E7" s="186">
        <f t="shared" si="0"/>
        <v>501150</v>
      </c>
      <c r="F7" s="186">
        <f t="shared" si="0"/>
        <v>501150</v>
      </c>
      <c r="G7" s="186">
        <f t="shared" si="0"/>
        <v>501150</v>
      </c>
      <c r="H7" s="186">
        <f t="shared" si="0"/>
        <v>501150</v>
      </c>
      <c r="I7" s="186">
        <f t="shared" si="0"/>
        <v>501150</v>
      </c>
      <c r="J7" s="186">
        <f t="shared" si="0"/>
        <v>501150</v>
      </c>
      <c r="K7" s="186">
        <f t="shared" si="0"/>
        <v>501150</v>
      </c>
      <c r="L7" s="186">
        <f t="shared" si="0"/>
        <v>501150</v>
      </c>
      <c r="M7" s="186">
        <f t="shared" si="0"/>
        <v>501150</v>
      </c>
      <c r="N7" s="186">
        <f t="shared" si="0"/>
        <v>5975250</v>
      </c>
      <c r="O7" s="186">
        <f t="shared" si="0"/>
        <v>6769958.25</v>
      </c>
      <c r="P7" s="186">
        <f t="shared" si="0"/>
        <v>7446954.0750000002</v>
      </c>
      <c r="Q7" s="186">
        <f t="shared" si="0"/>
        <v>8191649.4824999999</v>
      </c>
      <c r="R7" s="186">
        <f t="shared" si="0"/>
        <v>9010814.4307500012</v>
      </c>
      <c r="T7" s="199"/>
      <c r="U7" s="200"/>
    </row>
    <row r="8" spans="1:21" ht="15.75" customHeight="1">
      <c r="A8" s="175" t="s">
        <v>278</v>
      </c>
      <c r="B8" s="206">
        <f t="shared" ref="B8:R8" si="1">B5-SUM(B6:B7)</f>
        <v>42725400</v>
      </c>
      <c r="C8" s="206">
        <f t="shared" si="1"/>
        <v>48430850</v>
      </c>
      <c r="D8" s="206">
        <f t="shared" si="1"/>
        <v>48430850</v>
      </c>
      <c r="E8" s="206">
        <f t="shared" si="1"/>
        <v>48430850</v>
      </c>
      <c r="F8" s="206">
        <f t="shared" si="1"/>
        <v>48430850</v>
      </c>
      <c r="G8" s="206">
        <f t="shared" si="1"/>
        <v>48430850</v>
      </c>
      <c r="H8" s="206">
        <f t="shared" si="1"/>
        <v>48430850</v>
      </c>
      <c r="I8" s="206">
        <f t="shared" si="1"/>
        <v>48430850</v>
      </c>
      <c r="J8" s="206">
        <f t="shared" si="1"/>
        <v>48430850</v>
      </c>
      <c r="K8" s="206">
        <f t="shared" si="1"/>
        <v>48430850</v>
      </c>
      <c r="L8" s="206">
        <f t="shared" si="1"/>
        <v>48430850</v>
      </c>
      <c r="M8" s="206">
        <f t="shared" si="1"/>
        <v>48430850</v>
      </c>
      <c r="N8" s="206">
        <f t="shared" si="1"/>
        <v>575464750</v>
      </c>
      <c r="O8" s="206">
        <f t="shared" si="1"/>
        <v>651897116.74999988</v>
      </c>
      <c r="P8" s="206">
        <f t="shared" si="1"/>
        <v>743616798.92499971</v>
      </c>
      <c r="Q8" s="206">
        <f t="shared" si="1"/>
        <v>847957345.48249936</v>
      </c>
      <c r="R8" s="206">
        <f t="shared" si="1"/>
        <v>966629199.36219954</v>
      </c>
      <c r="T8" s="199"/>
      <c r="U8" s="207"/>
    </row>
    <row r="9" spans="1:21" ht="15.75" customHeight="1">
      <c r="A9" s="175" t="s">
        <v>280</v>
      </c>
      <c r="B9" s="208"/>
      <c r="C9" s="208"/>
      <c r="D9" s="208"/>
      <c r="E9" s="208"/>
      <c r="F9" s="208"/>
      <c r="G9" s="208"/>
      <c r="H9" s="208"/>
      <c r="I9" s="208"/>
      <c r="J9" s="208"/>
      <c r="K9" s="208"/>
      <c r="L9" s="208"/>
      <c r="M9" s="208"/>
      <c r="N9" s="209"/>
      <c r="O9" s="209"/>
      <c r="P9" s="209"/>
      <c r="Q9" s="209"/>
      <c r="R9" s="209"/>
      <c r="T9" s="199"/>
      <c r="U9" s="210"/>
    </row>
    <row r="10" spans="1:21" ht="15.75" customHeight="1">
      <c r="A10" s="211" t="s">
        <v>281</v>
      </c>
      <c r="B10" s="186">
        <f>'Giả định chi phí'!F11</f>
        <v>45695000</v>
      </c>
      <c r="C10" s="186">
        <f t="shared" ref="C10:M10" si="2">B10</f>
        <v>45695000</v>
      </c>
      <c r="D10" s="186">
        <f t="shared" si="2"/>
        <v>45695000</v>
      </c>
      <c r="E10" s="186">
        <f t="shared" si="2"/>
        <v>45695000</v>
      </c>
      <c r="F10" s="186">
        <f t="shared" si="2"/>
        <v>45695000</v>
      </c>
      <c r="G10" s="186">
        <f t="shared" si="2"/>
        <v>45695000</v>
      </c>
      <c r="H10" s="186">
        <f t="shared" si="2"/>
        <v>45695000</v>
      </c>
      <c r="I10" s="186">
        <f t="shared" si="2"/>
        <v>45695000</v>
      </c>
      <c r="J10" s="186">
        <f t="shared" si="2"/>
        <v>45695000</v>
      </c>
      <c r="K10" s="186">
        <f t="shared" si="2"/>
        <v>45695000</v>
      </c>
      <c r="L10" s="186">
        <f t="shared" si="2"/>
        <v>45695000</v>
      </c>
      <c r="M10" s="186">
        <f t="shared" si="2"/>
        <v>45695000</v>
      </c>
      <c r="N10" s="214">
        <f>SUM('Giả định chi phí'!F38:F42)</f>
        <v>548340000</v>
      </c>
      <c r="O10" s="214">
        <f>SUM('Giả định chi phí'!G38:G42)</f>
        <v>570273600</v>
      </c>
      <c r="P10" s="214">
        <f>SUM('Giả định chi phí'!H38:H42)</f>
        <v>593084544</v>
      </c>
      <c r="Q10" s="214">
        <f>SUM('Giả định chi phí'!I38:I42)</f>
        <v>616807925.76000011</v>
      </c>
      <c r="R10" s="214">
        <f>SUM('Giả định chi phí'!J38:J42)</f>
        <v>641480242.79040003</v>
      </c>
      <c r="T10" s="199"/>
      <c r="U10" s="216"/>
    </row>
    <row r="11" spans="1:21" ht="15.75" customHeight="1">
      <c r="A11" s="211" t="s">
        <v>296</v>
      </c>
      <c r="B11" s="214">
        <f>'Giả định chi phí'!E44</f>
        <v>12000000</v>
      </c>
      <c r="C11" s="214">
        <f>'Giả định chi phí'!E44</f>
        <v>12000000</v>
      </c>
      <c r="D11" s="214">
        <f>'Giả định chi phí'!E44</f>
        <v>12000000</v>
      </c>
      <c r="E11" s="214">
        <f>'Giả định chi phí'!E44</f>
        <v>12000000</v>
      </c>
      <c r="F11" s="214">
        <f>'Giả định chi phí'!E44</f>
        <v>12000000</v>
      </c>
      <c r="G11" s="214">
        <f>'Giả định chi phí'!E44</f>
        <v>12000000</v>
      </c>
      <c r="H11" s="214">
        <f>'Giả định chi phí'!E44</f>
        <v>12000000</v>
      </c>
      <c r="I11" s="214">
        <f>'Giả định chi phí'!E44</f>
        <v>12000000</v>
      </c>
      <c r="J11" s="214">
        <f>'Giả định chi phí'!E44</f>
        <v>12000000</v>
      </c>
      <c r="K11" s="214">
        <f>'Giả định chi phí'!E44</f>
        <v>12000000</v>
      </c>
      <c r="L11" s="214">
        <f>'Giả định chi phí'!E44</f>
        <v>12000000</v>
      </c>
      <c r="M11" s="214">
        <f>'Giả định chi phí'!E44</f>
        <v>12000000</v>
      </c>
      <c r="N11" s="214">
        <f>'Giả định chi phí'!F44</f>
        <v>144000000</v>
      </c>
      <c r="O11" s="214">
        <f>'Giả định chi phí'!G44</f>
        <v>151200000</v>
      </c>
      <c r="P11" s="214">
        <f>'Giả định chi phí'!H44</f>
        <v>158760000</v>
      </c>
      <c r="Q11" s="214">
        <f>'Giả định chi phí'!I44</f>
        <v>166698000</v>
      </c>
      <c r="R11" s="214">
        <f>'Giả định chi phí'!J44</f>
        <v>175032900</v>
      </c>
    </row>
    <row r="12" spans="1:21" ht="15.75" customHeight="1">
      <c r="A12" s="211" t="s">
        <v>320</v>
      </c>
      <c r="B12" s="214">
        <f>'Giả định chi phí'!E46</f>
        <v>600000</v>
      </c>
      <c r="C12" s="214">
        <f>'Giả định chi phí'!E46</f>
        <v>600000</v>
      </c>
      <c r="D12" s="214">
        <f>'Giả định chi phí'!E46</f>
        <v>600000</v>
      </c>
      <c r="E12" s="214">
        <f>'Giả định chi phí'!E46</f>
        <v>600000</v>
      </c>
      <c r="F12" s="214">
        <f>'Giả định chi phí'!E46</f>
        <v>600000</v>
      </c>
      <c r="G12" s="214">
        <f>'Giả định chi phí'!E46</f>
        <v>600000</v>
      </c>
      <c r="H12" s="214">
        <f>'Giả định chi phí'!E46</f>
        <v>600000</v>
      </c>
      <c r="I12" s="214">
        <f>'Giả định chi phí'!E46</f>
        <v>600000</v>
      </c>
      <c r="J12" s="214">
        <f>'Giả định chi phí'!E46</f>
        <v>600000</v>
      </c>
      <c r="K12" s="214">
        <f>'Giả định chi phí'!E46</f>
        <v>600000</v>
      </c>
      <c r="L12" s="214">
        <f>'Giả định chi phí'!E46</f>
        <v>600000</v>
      </c>
      <c r="M12" s="214">
        <f>'Giả định chi phí'!E46</f>
        <v>600000</v>
      </c>
      <c r="N12" s="214">
        <f>'Giả định chi phí'!F46</f>
        <v>7200000</v>
      </c>
      <c r="O12" s="214">
        <f>'Giả định chi phí'!G46</f>
        <v>7560000</v>
      </c>
      <c r="P12" s="214">
        <f>'Giả định chi phí'!H46</f>
        <v>7938000</v>
      </c>
      <c r="Q12" s="214">
        <f>'Giả định chi phí'!I46</f>
        <v>8334900</v>
      </c>
      <c r="R12" s="214">
        <f>'Giả định chi phí'!J46</f>
        <v>8751645</v>
      </c>
    </row>
    <row r="13" spans="1:21" ht="15.75" customHeight="1">
      <c r="A13" s="211" t="s">
        <v>321</v>
      </c>
      <c r="B13" s="214">
        <f>'Giả định chi phí'!E47</f>
        <v>150000</v>
      </c>
      <c r="C13" s="214">
        <f>'Giả định chi phí'!E47</f>
        <v>150000</v>
      </c>
      <c r="D13" s="214">
        <f>'Giả định chi phí'!E47</f>
        <v>150000</v>
      </c>
      <c r="E13" s="214">
        <f>'Giả định chi phí'!E47</f>
        <v>150000</v>
      </c>
      <c r="F13" s="214">
        <f>'Giả định chi phí'!E47</f>
        <v>150000</v>
      </c>
      <c r="G13" s="214">
        <f>'Giả định chi phí'!E47</f>
        <v>150000</v>
      </c>
      <c r="H13" s="214">
        <f>'Giả định chi phí'!E47</f>
        <v>150000</v>
      </c>
      <c r="I13" s="214">
        <f>'Giả định chi phí'!E47</f>
        <v>150000</v>
      </c>
      <c r="J13" s="214">
        <f>'Giả định chi phí'!E47</f>
        <v>150000</v>
      </c>
      <c r="K13" s="214">
        <f>'Giả định chi phí'!E47</f>
        <v>150000</v>
      </c>
      <c r="L13" s="214">
        <f>'Giả định chi phí'!E47</f>
        <v>150000</v>
      </c>
      <c r="M13" s="214">
        <f>'Giả định chi phí'!E47</f>
        <v>150000</v>
      </c>
      <c r="N13" s="214">
        <f>'Giả định chi phí'!F47</f>
        <v>1800000</v>
      </c>
      <c r="O13" s="214">
        <f>'Giả định chi phí'!G47</f>
        <v>1854000</v>
      </c>
      <c r="P13" s="214">
        <f>'Giả định chi phí'!H47</f>
        <v>1909620</v>
      </c>
      <c r="Q13" s="214">
        <f>'Giả định chi phí'!I47</f>
        <v>1966908.6</v>
      </c>
      <c r="R13" s="214">
        <f>'Giả định chi phí'!J47</f>
        <v>2025915.8580000002</v>
      </c>
    </row>
    <row r="14" spans="1:21" ht="15.75" customHeight="1">
      <c r="A14" s="211" t="s">
        <v>234</v>
      </c>
      <c r="B14" s="222">
        <f>'Giả định chi phí'!E48</f>
        <v>300000</v>
      </c>
      <c r="C14" s="214">
        <f>'Giả định chi phí'!E48</f>
        <v>300000</v>
      </c>
      <c r="D14" s="214">
        <f>'Giả định chi phí'!E48</f>
        <v>300000</v>
      </c>
      <c r="E14" s="214">
        <f>'Giả định chi phí'!E48</f>
        <v>300000</v>
      </c>
      <c r="F14" s="214">
        <f>'Giả định chi phí'!E48</f>
        <v>300000</v>
      </c>
      <c r="G14" s="214">
        <f>'Giả định chi phí'!E48</f>
        <v>300000</v>
      </c>
      <c r="H14" s="214">
        <f>'Giả định chi phí'!E48</f>
        <v>300000</v>
      </c>
      <c r="I14" s="214">
        <f>'Giả định chi phí'!E48</f>
        <v>300000</v>
      </c>
      <c r="J14" s="214">
        <f>'Giả định chi phí'!E48</f>
        <v>300000</v>
      </c>
      <c r="K14" s="214">
        <f>'Giả định chi phí'!E48</f>
        <v>300000</v>
      </c>
      <c r="L14" s="214">
        <f>'Giả định chi phí'!E48</f>
        <v>300000</v>
      </c>
      <c r="M14" s="214">
        <f>'Giả định chi phí'!E48</f>
        <v>300000</v>
      </c>
      <c r="N14" s="214">
        <f>'Giả định chi phí'!F48</f>
        <v>3600000</v>
      </c>
      <c r="O14" s="214">
        <f>'Giả định chi phí'!G48</f>
        <v>3780000</v>
      </c>
      <c r="P14" s="214">
        <f>'Giả định chi phí'!H48</f>
        <v>3969000</v>
      </c>
      <c r="Q14" s="214">
        <f>'Giả định chi phí'!I48</f>
        <v>4167450</v>
      </c>
      <c r="R14" s="214">
        <f>'Giả định chi phí'!J48</f>
        <v>4375822.5</v>
      </c>
    </row>
    <row r="15" spans="1:21" ht="15.75" customHeight="1">
      <c r="A15" s="211" t="s">
        <v>322</v>
      </c>
      <c r="B15" s="186">
        <f>'Giả định chi phí'!D57</f>
        <v>500000</v>
      </c>
      <c r="C15" s="186">
        <f>'Giả định chi phí'!E57</f>
        <v>500000</v>
      </c>
      <c r="D15" s="186">
        <f>'Giả định chi phí'!E57</f>
        <v>500000</v>
      </c>
      <c r="E15" s="186">
        <f>'Giả định chi phí'!E57</f>
        <v>500000</v>
      </c>
      <c r="F15" s="186">
        <f>'Giả định chi phí'!E57</f>
        <v>500000</v>
      </c>
      <c r="G15" s="186">
        <f>'Giả định chi phí'!E57</f>
        <v>500000</v>
      </c>
      <c r="H15" s="186">
        <f>'Giả định chi phí'!E57</f>
        <v>500000</v>
      </c>
      <c r="I15" s="186">
        <f>'Giả định chi phí'!E57</f>
        <v>500000</v>
      </c>
      <c r="J15" s="186">
        <f>'Giả định chi phí'!E57</f>
        <v>500000</v>
      </c>
      <c r="K15" s="186">
        <f>'Giả định chi phí'!E57</f>
        <v>500000</v>
      </c>
      <c r="L15" s="186">
        <f>'Giả định chi phí'!E57</f>
        <v>500000</v>
      </c>
      <c r="M15" s="186">
        <f>'Giả định chi phí'!E57</f>
        <v>500000</v>
      </c>
      <c r="N15" s="186">
        <f>'Giả định chi phí'!F57</f>
        <v>6000000</v>
      </c>
      <c r="O15" s="186">
        <f>'Giả định chi phí'!G57</f>
        <v>6600000.0000000009</v>
      </c>
      <c r="P15" s="186">
        <f>'Giả định chi phí'!H57</f>
        <v>7260000.0000000019</v>
      </c>
      <c r="Q15" s="186">
        <f>'Giả định chi phí'!I57</f>
        <v>7986000.0000000028</v>
      </c>
      <c r="R15" s="186">
        <f>'Giả định chi phí'!J57</f>
        <v>8784600.0000000037</v>
      </c>
    </row>
    <row r="16" spans="1:21" ht="15.75" customHeight="1">
      <c r="A16" s="211" t="s">
        <v>323</v>
      </c>
      <c r="B16" s="186">
        <f>'Giả định chi phí'!G72/12</f>
        <v>208333.33333333334</v>
      </c>
      <c r="C16" s="186">
        <f>'Giả định chi phí'!G72/12</f>
        <v>208333.33333333334</v>
      </c>
      <c r="D16" s="186">
        <f>'Giả định chi phí'!G72/12</f>
        <v>208333.33333333334</v>
      </c>
      <c r="E16" s="186">
        <f>'Giả định chi phí'!G72/12</f>
        <v>208333.33333333334</v>
      </c>
      <c r="F16" s="186">
        <f>'Giả định chi phí'!G72/12</f>
        <v>208333.33333333334</v>
      </c>
      <c r="G16" s="186">
        <f>'Giả định chi phí'!G72/12</f>
        <v>208333.33333333334</v>
      </c>
      <c r="H16" s="186">
        <f>'Giả định chi phí'!G72/12</f>
        <v>208333.33333333334</v>
      </c>
      <c r="I16" s="186">
        <f>'Giả định chi phí'!G72/12</f>
        <v>208333.33333333334</v>
      </c>
      <c r="J16" s="186">
        <f>'Giả định chi phí'!G72/12</f>
        <v>208333.33333333334</v>
      </c>
      <c r="K16" s="186">
        <f>'Giả định chi phí'!G72/12</f>
        <v>208333.33333333334</v>
      </c>
      <c r="L16" s="186">
        <f>'Giả định chi phí'!G72/12</f>
        <v>208333.33333333334</v>
      </c>
      <c r="M16" s="186">
        <f>'Giả định chi phí'!G72/12</f>
        <v>208333.33333333334</v>
      </c>
      <c r="N16" s="186">
        <f>'Giả định chi phí'!G72</f>
        <v>2500000</v>
      </c>
      <c r="O16" s="186">
        <f>'Giả định chi phí'!I72</f>
        <v>3500000</v>
      </c>
      <c r="P16" s="186">
        <f>'Giả định chi phí'!K72</f>
        <v>4500000</v>
      </c>
      <c r="Q16" s="186">
        <f>'Giả định chi phí'!M72</f>
        <v>5000000</v>
      </c>
      <c r="R16" s="186">
        <f>'Giả định chi phí'!O72</f>
        <v>5500000</v>
      </c>
    </row>
    <row r="17" spans="1:26" ht="15.75" customHeight="1">
      <c r="A17" s="211" t="s">
        <v>324</v>
      </c>
      <c r="B17" s="186">
        <f>'Giả định chi phí'!G73/12</f>
        <v>291666.66666666669</v>
      </c>
      <c r="C17" s="186">
        <f>'Giả định chi phí'!G73/12</f>
        <v>291666.66666666669</v>
      </c>
      <c r="D17" s="186">
        <f>'Giả định chi phí'!G73/12</f>
        <v>291666.66666666669</v>
      </c>
      <c r="E17" s="186">
        <f>'Giả định chi phí'!G73/12</f>
        <v>291666.66666666669</v>
      </c>
      <c r="F17" s="186">
        <f>'Giả định chi phí'!G73/12</f>
        <v>291666.66666666669</v>
      </c>
      <c r="G17" s="186">
        <f>'Giả định chi phí'!G73/12</f>
        <v>291666.66666666669</v>
      </c>
      <c r="H17" s="186">
        <f>'Giả định chi phí'!G73/12</f>
        <v>291666.66666666669</v>
      </c>
      <c r="I17" s="186">
        <f>'Giả định chi phí'!G73/12</f>
        <v>291666.66666666669</v>
      </c>
      <c r="J17" s="186">
        <f>'Giả định chi phí'!G73/12</f>
        <v>291666.66666666669</v>
      </c>
      <c r="K17" s="186">
        <f>'Giả định chi phí'!G73/12</f>
        <v>291666.66666666669</v>
      </c>
      <c r="L17" s="186">
        <f>'Giả định chi phí'!G73/12</f>
        <v>291666.66666666669</v>
      </c>
      <c r="M17" s="186">
        <f>'Giả định chi phí'!G73/12</f>
        <v>291666.66666666669</v>
      </c>
      <c r="N17" s="186">
        <f>'Giả định chi phí'!G73</f>
        <v>3500000</v>
      </c>
      <c r="O17" s="186">
        <f>'Giả định chi phí'!I73</f>
        <v>4000000</v>
      </c>
      <c r="P17" s="186">
        <f>'Giả định chi phí'!K73</f>
        <v>4500000</v>
      </c>
      <c r="Q17" s="186">
        <f>'Giả định chi phí'!M73</f>
        <v>5000000</v>
      </c>
      <c r="R17" s="186">
        <f>'Giả định chi phí'!O73</f>
        <v>5000000</v>
      </c>
    </row>
    <row r="18" spans="1:26" ht="15.75" customHeight="1">
      <c r="A18" s="211" t="s">
        <v>325</v>
      </c>
      <c r="B18" s="186">
        <f>'Giả định chi phí'!F66/12</f>
        <v>1519700</v>
      </c>
      <c r="C18" s="186">
        <f>'Giả định chi phí'!G66/12</f>
        <v>1519700</v>
      </c>
      <c r="D18" s="186">
        <f>'Giả định chi phí'!H66/12</f>
        <v>1519700</v>
      </c>
      <c r="E18" s="186">
        <f>'Giả định chi phí'!I66/12</f>
        <v>1519700</v>
      </c>
      <c r="F18" s="186">
        <f>'Giả định chi phí'!F66/12</f>
        <v>1519700</v>
      </c>
      <c r="G18" s="186">
        <f>'Giả định chi phí'!F66/12</f>
        <v>1519700</v>
      </c>
      <c r="H18" s="186">
        <f>'Giả định chi phí'!F66/12</f>
        <v>1519700</v>
      </c>
      <c r="I18" s="186">
        <f>'Giả định chi phí'!F66/12</f>
        <v>1519700</v>
      </c>
      <c r="J18" s="186">
        <f>'Giả định chi phí'!F66/12</f>
        <v>1519700</v>
      </c>
      <c r="K18" s="186">
        <f>'Giả định chi phí'!F66/12</f>
        <v>1519700</v>
      </c>
      <c r="L18" s="186">
        <f>'Giả định chi phí'!G66/12</f>
        <v>1519700</v>
      </c>
      <c r="M18" s="186">
        <f>'Giả định chi phí'!G66/12</f>
        <v>1519700</v>
      </c>
      <c r="N18" s="186">
        <f>'Giả định chi phí'!F66</f>
        <v>18236400</v>
      </c>
      <c r="O18" s="186">
        <f>'Giả định chi phí'!G66</f>
        <v>18236400</v>
      </c>
      <c r="P18" s="186">
        <f>'Giả định chi phí'!H66</f>
        <v>18236400</v>
      </c>
      <c r="Q18" s="186">
        <f>'Giả định chi phí'!I66</f>
        <v>18236400</v>
      </c>
      <c r="R18" s="186">
        <f>'Giả định chi phí'!J66</f>
        <v>18236400</v>
      </c>
    </row>
    <row r="19" spans="1:26" ht="15.75" customHeight="1">
      <c r="A19" s="211" t="s">
        <v>326</v>
      </c>
      <c r="B19" s="187">
        <f t="shared" ref="B19:R19" si="3">0</f>
        <v>0</v>
      </c>
      <c r="C19" s="187">
        <f t="shared" si="3"/>
        <v>0</v>
      </c>
      <c r="D19" s="187">
        <f t="shared" si="3"/>
        <v>0</v>
      </c>
      <c r="E19" s="187">
        <f t="shared" si="3"/>
        <v>0</v>
      </c>
      <c r="F19" s="187">
        <f t="shared" si="3"/>
        <v>0</v>
      </c>
      <c r="G19" s="187">
        <f t="shared" si="3"/>
        <v>0</v>
      </c>
      <c r="H19" s="187">
        <f t="shared" si="3"/>
        <v>0</v>
      </c>
      <c r="I19" s="187">
        <f t="shared" si="3"/>
        <v>0</v>
      </c>
      <c r="J19" s="187">
        <f t="shared" si="3"/>
        <v>0</v>
      </c>
      <c r="K19" s="187">
        <f t="shared" si="3"/>
        <v>0</v>
      </c>
      <c r="L19" s="187">
        <f t="shared" si="3"/>
        <v>0</v>
      </c>
      <c r="M19" s="187">
        <f t="shared" si="3"/>
        <v>0</v>
      </c>
      <c r="N19" s="187">
        <f t="shared" si="3"/>
        <v>0</v>
      </c>
      <c r="O19" s="187">
        <f t="shared" si="3"/>
        <v>0</v>
      </c>
      <c r="P19" s="187">
        <f t="shared" si="3"/>
        <v>0</v>
      </c>
      <c r="Q19" s="187">
        <f t="shared" si="3"/>
        <v>0</v>
      </c>
      <c r="R19" s="187">
        <f t="shared" si="3"/>
        <v>0</v>
      </c>
    </row>
    <row r="20" spans="1:26" ht="15.75" customHeight="1">
      <c r="A20" s="185" t="s">
        <v>327</v>
      </c>
      <c r="B20" s="186">
        <f t="shared" ref="B20:R20" si="4">B10</f>
        <v>45695000</v>
      </c>
      <c r="C20" s="186">
        <f t="shared" si="4"/>
        <v>45695000</v>
      </c>
      <c r="D20" s="186">
        <f t="shared" si="4"/>
        <v>45695000</v>
      </c>
      <c r="E20" s="186">
        <f t="shared" si="4"/>
        <v>45695000</v>
      </c>
      <c r="F20" s="186">
        <f t="shared" si="4"/>
        <v>45695000</v>
      </c>
      <c r="G20" s="186">
        <f t="shared" si="4"/>
        <v>45695000</v>
      </c>
      <c r="H20" s="186">
        <f t="shared" si="4"/>
        <v>45695000</v>
      </c>
      <c r="I20" s="186">
        <f t="shared" si="4"/>
        <v>45695000</v>
      </c>
      <c r="J20" s="186">
        <f t="shared" si="4"/>
        <v>45695000</v>
      </c>
      <c r="K20" s="186">
        <f t="shared" si="4"/>
        <v>45695000</v>
      </c>
      <c r="L20" s="186">
        <f t="shared" si="4"/>
        <v>45695000</v>
      </c>
      <c r="M20" s="186">
        <f t="shared" si="4"/>
        <v>45695000</v>
      </c>
      <c r="N20" s="214">
        <f t="shared" si="4"/>
        <v>548340000</v>
      </c>
      <c r="O20" s="214">
        <f t="shared" si="4"/>
        <v>570273600</v>
      </c>
      <c r="P20" s="214">
        <f t="shared" si="4"/>
        <v>593084544</v>
      </c>
      <c r="Q20" s="214">
        <f t="shared" si="4"/>
        <v>616807925.76000011</v>
      </c>
      <c r="R20" s="214">
        <f t="shared" si="4"/>
        <v>641480242.79040003</v>
      </c>
    </row>
    <row r="21" spans="1:26" ht="15.75" customHeight="1">
      <c r="A21" s="185" t="s">
        <v>328</v>
      </c>
      <c r="B21" s="214">
        <f t="shared" ref="B21:R21" si="5">SUM(B11:B15)</f>
        <v>13550000</v>
      </c>
      <c r="C21" s="214">
        <f t="shared" si="5"/>
        <v>13550000</v>
      </c>
      <c r="D21" s="214">
        <f t="shared" si="5"/>
        <v>13550000</v>
      </c>
      <c r="E21" s="214">
        <f t="shared" si="5"/>
        <v>13550000</v>
      </c>
      <c r="F21" s="214">
        <f t="shared" si="5"/>
        <v>13550000</v>
      </c>
      <c r="G21" s="214">
        <f t="shared" si="5"/>
        <v>13550000</v>
      </c>
      <c r="H21" s="214">
        <f t="shared" si="5"/>
        <v>13550000</v>
      </c>
      <c r="I21" s="214">
        <f t="shared" si="5"/>
        <v>13550000</v>
      </c>
      <c r="J21" s="214">
        <f t="shared" si="5"/>
        <v>13550000</v>
      </c>
      <c r="K21" s="214">
        <f t="shared" si="5"/>
        <v>13550000</v>
      </c>
      <c r="L21" s="214">
        <f t="shared" si="5"/>
        <v>13550000</v>
      </c>
      <c r="M21" s="214">
        <f t="shared" si="5"/>
        <v>13550000</v>
      </c>
      <c r="N21" s="214">
        <f t="shared" si="5"/>
        <v>162600000</v>
      </c>
      <c r="O21" s="214">
        <f t="shared" si="5"/>
        <v>170994000</v>
      </c>
      <c r="P21" s="214">
        <f t="shared" si="5"/>
        <v>179836620</v>
      </c>
      <c r="Q21" s="214">
        <f t="shared" si="5"/>
        <v>189153258.59999999</v>
      </c>
      <c r="R21" s="214">
        <f t="shared" si="5"/>
        <v>198970883.35800001</v>
      </c>
    </row>
    <row r="22" spans="1:26" ht="15.75" customHeight="1">
      <c r="A22" s="185" t="s">
        <v>329</v>
      </c>
      <c r="B22" s="223">
        <f t="shared" ref="B22:R22" si="6">SUM(B16:B17)</f>
        <v>500000</v>
      </c>
      <c r="C22" s="223">
        <f t="shared" si="6"/>
        <v>500000</v>
      </c>
      <c r="D22" s="223">
        <f t="shared" si="6"/>
        <v>500000</v>
      </c>
      <c r="E22" s="223">
        <f t="shared" si="6"/>
        <v>500000</v>
      </c>
      <c r="F22" s="223">
        <f t="shared" si="6"/>
        <v>500000</v>
      </c>
      <c r="G22" s="223">
        <f t="shared" si="6"/>
        <v>500000</v>
      </c>
      <c r="H22" s="223">
        <f t="shared" si="6"/>
        <v>500000</v>
      </c>
      <c r="I22" s="223">
        <f t="shared" si="6"/>
        <v>500000</v>
      </c>
      <c r="J22" s="223">
        <f t="shared" si="6"/>
        <v>500000</v>
      </c>
      <c r="K22" s="223">
        <f t="shared" si="6"/>
        <v>500000</v>
      </c>
      <c r="L22" s="223">
        <f t="shared" si="6"/>
        <v>500000</v>
      </c>
      <c r="M22" s="223">
        <f t="shared" si="6"/>
        <v>500000</v>
      </c>
      <c r="N22" s="223">
        <f t="shared" si="6"/>
        <v>6000000</v>
      </c>
      <c r="O22" s="223">
        <f t="shared" si="6"/>
        <v>7500000</v>
      </c>
      <c r="P22" s="223">
        <f t="shared" si="6"/>
        <v>9000000</v>
      </c>
      <c r="Q22" s="223">
        <f t="shared" si="6"/>
        <v>10000000</v>
      </c>
      <c r="R22" s="223">
        <f t="shared" si="6"/>
        <v>10500000</v>
      </c>
    </row>
    <row r="23" spans="1:26" ht="15.75" customHeight="1">
      <c r="A23" s="185" t="s">
        <v>330</v>
      </c>
      <c r="B23" s="186">
        <f t="shared" ref="B23:R23" si="7">B18</f>
        <v>1519700</v>
      </c>
      <c r="C23" s="186">
        <f t="shared" si="7"/>
        <v>1519700</v>
      </c>
      <c r="D23" s="186">
        <f t="shared" si="7"/>
        <v>1519700</v>
      </c>
      <c r="E23" s="186">
        <f t="shared" si="7"/>
        <v>1519700</v>
      </c>
      <c r="F23" s="186">
        <f t="shared" si="7"/>
        <v>1519700</v>
      </c>
      <c r="G23" s="186">
        <f t="shared" si="7"/>
        <v>1519700</v>
      </c>
      <c r="H23" s="186">
        <f t="shared" si="7"/>
        <v>1519700</v>
      </c>
      <c r="I23" s="186">
        <f t="shared" si="7"/>
        <v>1519700</v>
      </c>
      <c r="J23" s="186">
        <f t="shared" si="7"/>
        <v>1519700</v>
      </c>
      <c r="K23" s="186">
        <f t="shared" si="7"/>
        <v>1519700</v>
      </c>
      <c r="L23" s="186">
        <f t="shared" si="7"/>
        <v>1519700</v>
      </c>
      <c r="M23" s="186">
        <f t="shared" si="7"/>
        <v>1519700</v>
      </c>
      <c r="N23" s="186">
        <f t="shared" si="7"/>
        <v>18236400</v>
      </c>
      <c r="O23" s="186">
        <f t="shared" si="7"/>
        <v>18236400</v>
      </c>
      <c r="P23" s="186">
        <f t="shared" si="7"/>
        <v>18236400</v>
      </c>
      <c r="Q23" s="186">
        <f t="shared" si="7"/>
        <v>18236400</v>
      </c>
      <c r="R23" s="186">
        <f t="shared" si="7"/>
        <v>18236400</v>
      </c>
    </row>
    <row r="24" spans="1:26" ht="15.75" customHeight="1">
      <c r="A24" s="175" t="s">
        <v>331</v>
      </c>
      <c r="B24" s="206">
        <f t="shared" ref="B24:R24" si="8">SUM(B20:B23)</f>
        <v>61264700</v>
      </c>
      <c r="C24" s="206">
        <f t="shared" si="8"/>
        <v>61264700</v>
      </c>
      <c r="D24" s="206">
        <f t="shared" si="8"/>
        <v>61264700</v>
      </c>
      <c r="E24" s="206">
        <f t="shared" si="8"/>
        <v>61264700</v>
      </c>
      <c r="F24" s="206">
        <f t="shared" si="8"/>
        <v>61264700</v>
      </c>
      <c r="G24" s="206">
        <f t="shared" si="8"/>
        <v>61264700</v>
      </c>
      <c r="H24" s="206">
        <f t="shared" si="8"/>
        <v>61264700</v>
      </c>
      <c r="I24" s="206">
        <f t="shared" si="8"/>
        <v>61264700</v>
      </c>
      <c r="J24" s="206">
        <f t="shared" si="8"/>
        <v>61264700</v>
      </c>
      <c r="K24" s="206">
        <f t="shared" si="8"/>
        <v>61264700</v>
      </c>
      <c r="L24" s="206">
        <f t="shared" si="8"/>
        <v>61264700</v>
      </c>
      <c r="M24" s="206">
        <f t="shared" si="8"/>
        <v>61264700</v>
      </c>
      <c r="N24" s="224">
        <f t="shared" si="8"/>
        <v>735176400</v>
      </c>
      <c r="O24" s="224">
        <f t="shared" si="8"/>
        <v>767004000</v>
      </c>
      <c r="P24" s="224">
        <f t="shared" si="8"/>
        <v>800157564</v>
      </c>
      <c r="Q24" s="224">
        <f t="shared" si="8"/>
        <v>834197584.36000013</v>
      </c>
      <c r="R24" s="224">
        <f t="shared" si="8"/>
        <v>869187526.14840007</v>
      </c>
    </row>
    <row r="25" spans="1:26" ht="15.75" customHeight="1">
      <c r="A25" s="175" t="s">
        <v>332</v>
      </c>
      <c r="B25" s="225">
        <f t="shared" ref="B25:R25" si="9">B8-B24</f>
        <v>-18539300</v>
      </c>
      <c r="C25" s="225">
        <f t="shared" si="9"/>
        <v>-12833850</v>
      </c>
      <c r="D25" s="225">
        <f t="shared" si="9"/>
        <v>-12833850</v>
      </c>
      <c r="E25" s="225">
        <f t="shared" si="9"/>
        <v>-12833850</v>
      </c>
      <c r="F25" s="225">
        <f t="shared" si="9"/>
        <v>-12833850</v>
      </c>
      <c r="G25" s="225">
        <f t="shared" si="9"/>
        <v>-12833850</v>
      </c>
      <c r="H25" s="225">
        <f t="shared" si="9"/>
        <v>-12833850</v>
      </c>
      <c r="I25" s="225">
        <f t="shared" si="9"/>
        <v>-12833850</v>
      </c>
      <c r="J25" s="225">
        <f t="shared" si="9"/>
        <v>-12833850</v>
      </c>
      <c r="K25" s="225">
        <f t="shared" si="9"/>
        <v>-12833850</v>
      </c>
      <c r="L25" s="225">
        <f t="shared" si="9"/>
        <v>-12833850</v>
      </c>
      <c r="M25" s="225">
        <f t="shared" si="9"/>
        <v>-12833850</v>
      </c>
      <c r="N25" s="225">
        <f t="shared" si="9"/>
        <v>-159711650</v>
      </c>
      <c r="O25" s="225">
        <f t="shared" si="9"/>
        <v>-115106883.25000012</v>
      </c>
      <c r="P25" s="225">
        <f t="shared" si="9"/>
        <v>-56540765.075000286</v>
      </c>
      <c r="Q25" s="176">
        <f t="shared" si="9"/>
        <v>13759761.122499228</v>
      </c>
      <c r="R25" s="176">
        <f t="shared" si="9"/>
        <v>97441673.213799477</v>
      </c>
    </row>
    <row r="26" spans="1:26" ht="15.75" customHeight="1">
      <c r="A26" s="226" t="s">
        <v>333</v>
      </c>
      <c r="B26" s="227">
        <f t="shared" ref="B26:R26" si="10">IF(B25&gt;0,B25*$T$3,0)</f>
        <v>0</v>
      </c>
      <c r="C26" s="227">
        <f t="shared" si="10"/>
        <v>0</v>
      </c>
      <c r="D26" s="227">
        <f t="shared" si="10"/>
        <v>0</v>
      </c>
      <c r="E26" s="227">
        <f t="shared" si="10"/>
        <v>0</v>
      </c>
      <c r="F26" s="227">
        <f t="shared" si="10"/>
        <v>0</v>
      </c>
      <c r="G26" s="227">
        <f t="shared" si="10"/>
        <v>0</v>
      </c>
      <c r="H26" s="227">
        <f t="shared" si="10"/>
        <v>0</v>
      </c>
      <c r="I26" s="227">
        <f t="shared" si="10"/>
        <v>0</v>
      </c>
      <c r="J26" s="227">
        <f t="shared" si="10"/>
        <v>0</v>
      </c>
      <c r="K26" s="227">
        <f t="shared" si="10"/>
        <v>0</v>
      </c>
      <c r="L26" s="227">
        <f t="shared" si="10"/>
        <v>0</v>
      </c>
      <c r="M26" s="227">
        <f t="shared" si="10"/>
        <v>0</v>
      </c>
      <c r="N26" s="227">
        <f t="shared" si="10"/>
        <v>0</v>
      </c>
      <c r="O26" s="227">
        <f t="shared" si="10"/>
        <v>0</v>
      </c>
      <c r="P26" s="227">
        <f t="shared" si="10"/>
        <v>0</v>
      </c>
      <c r="Q26" s="58">
        <f t="shared" si="10"/>
        <v>2063964.1683748839</v>
      </c>
      <c r="R26" s="58">
        <f t="shared" si="10"/>
        <v>14616250.982069921</v>
      </c>
      <c r="S26" s="228"/>
      <c r="T26" s="228"/>
      <c r="U26" s="228"/>
      <c r="V26" s="228"/>
      <c r="W26" s="228"/>
      <c r="X26" s="228"/>
      <c r="Y26" s="228"/>
      <c r="Z26" s="228"/>
    </row>
    <row r="27" spans="1:26" ht="15.75" customHeight="1">
      <c r="A27" s="175" t="s">
        <v>334</v>
      </c>
      <c r="B27" s="229">
        <f t="shared" ref="B27:R27" si="11">B25-B26</f>
        <v>-18539300</v>
      </c>
      <c r="C27" s="229">
        <f t="shared" si="11"/>
        <v>-12833850</v>
      </c>
      <c r="D27" s="229">
        <f t="shared" si="11"/>
        <v>-12833850</v>
      </c>
      <c r="E27" s="229">
        <f t="shared" si="11"/>
        <v>-12833850</v>
      </c>
      <c r="F27" s="229">
        <f t="shared" si="11"/>
        <v>-12833850</v>
      </c>
      <c r="G27" s="229">
        <f t="shared" si="11"/>
        <v>-12833850</v>
      </c>
      <c r="H27" s="229">
        <f t="shared" si="11"/>
        <v>-12833850</v>
      </c>
      <c r="I27" s="229">
        <f t="shared" si="11"/>
        <v>-12833850</v>
      </c>
      <c r="J27" s="229">
        <f t="shared" si="11"/>
        <v>-12833850</v>
      </c>
      <c r="K27" s="229">
        <f t="shared" si="11"/>
        <v>-12833850</v>
      </c>
      <c r="L27" s="229">
        <f t="shared" si="11"/>
        <v>-12833850</v>
      </c>
      <c r="M27" s="229">
        <f t="shared" si="11"/>
        <v>-12833850</v>
      </c>
      <c r="N27" s="229">
        <f t="shared" si="11"/>
        <v>-159711650</v>
      </c>
      <c r="O27" s="229">
        <f t="shared" si="11"/>
        <v>-115106883.25000012</v>
      </c>
      <c r="P27" s="229">
        <f t="shared" si="11"/>
        <v>-56540765.075000286</v>
      </c>
      <c r="Q27" s="206">
        <f t="shared" si="11"/>
        <v>11695796.954124343</v>
      </c>
      <c r="R27" s="206">
        <f t="shared" si="11"/>
        <v>82825422.231729552</v>
      </c>
    </row>
    <row r="29" spans="1:26" ht="15.75" customHeight="1">
      <c r="A29" s="230" t="s">
        <v>335</v>
      </c>
      <c r="B29" s="231"/>
      <c r="C29" s="231"/>
      <c r="D29" s="231"/>
      <c r="E29" s="231"/>
      <c r="F29" s="231"/>
      <c r="G29" s="231"/>
      <c r="H29" s="231"/>
    </row>
    <row r="30" spans="1:26" ht="15.75" customHeight="1">
      <c r="A30" s="232" t="s">
        <v>336</v>
      </c>
      <c r="B30" s="231"/>
      <c r="C30" s="233" t="s">
        <v>337</v>
      </c>
      <c r="D30" s="231"/>
      <c r="E30" s="231"/>
      <c r="F30" s="231"/>
      <c r="G30" s="231"/>
      <c r="H30" s="231"/>
    </row>
    <row r="31" spans="1:26" ht="15.75" customHeight="1">
      <c r="A31" s="232" t="s">
        <v>338</v>
      </c>
      <c r="B31" s="232"/>
      <c r="C31" s="233" t="s">
        <v>339</v>
      </c>
      <c r="D31" s="231"/>
      <c r="E31" s="231"/>
      <c r="F31" s="231"/>
      <c r="G31" s="231"/>
      <c r="H31" s="231"/>
      <c r="I31" s="231"/>
      <c r="J31" s="231"/>
      <c r="K31" s="231"/>
      <c r="L31" s="231"/>
    </row>
  </sheetData>
  <mergeCells count="1">
    <mergeCell ref="A1:R1"/>
  </mergeCells>
  <hyperlinks>
    <hyperlink ref="C30" r:id="rId1" xr:uid="{00000000-0004-0000-0500-000000000000}"/>
    <hyperlink ref="C31"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67"/>
  <sheetViews>
    <sheetView workbookViewId="0"/>
  </sheetViews>
  <sheetFormatPr defaultColWidth="12.6640625" defaultRowHeight="15.75" customHeight="1"/>
  <cols>
    <col min="1" max="1" width="52.77734375" customWidth="1"/>
    <col min="2" max="2" width="26.77734375" customWidth="1"/>
    <col min="3" max="20" width="19.77734375" customWidth="1"/>
  </cols>
  <sheetData>
    <row r="1" spans="1:20" ht="15.75" customHeight="1">
      <c r="A1" s="265" t="s">
        <v>231</v>
      </c>
      <c r="B1" s="273"/>
      <c r="C1" s="273"/>
      <c r="D1" s="273"/>
      <c r="E1" s="273"/>
      <c r="F1" s="273"/>
      <c r="G1" s="273"/>
      <c r="H1" s="273"/>
      <c r="I1" s="273"/>
      <c r="J1" s="273"/>
      <c r="K1" s="273"/>
      <c r="L1" s="273"/>
      <c r="M1" s="273"/>
      <c r="N1" s="273"/>
      <c r="O1" s="273"/>
      <c r="P1" s="273"/>
      <c r="Q1" s="273"/>
      <c r="R1" s="273"/>
      <c r="S1" s="273"/>
      <c r="T1" s="259"/>
    </row>
    <row r="2" spans="1:20" ht="15.75" customHeight="1">
      <c r="A2" s="278" t="s">
        <v>233</v>
      </c>
      <c r="B2" s="259"/>
      <c r="C2" s="8" t="s">
        <v>87</v>
      </c>
      <c r="D2" s="8" t="s">
        <v>104</v>
      </c>
      <c r="E2" s="8" t="s">
        <v>105</v>
      </c>
      <c r="F2" s="8" t="s">
        <v>106</v>
      </c>
      <c r="G2" s="8" t="s">
        <v>107</v>
      </c>
      <c r="H2" s="8" t="s">
        <v>108</v>
      </c>
      <c r="I2" s="8" t="s">
        <v>109</v>
      </c>
      <c r="J2" s="8" t="s">
        <v>110</v>
      </c>
      <c r="K2" s="8" t="s">
        <v>111</v>
      </c>
      <c r="L2" s="8" t="s">
        <v>112</v>
      </c>
      <c r="M2" s="8" t="s">
        <v>113</v>
      </c>
      <c r="N2" s="8" t="s">
        <v>114</v>
      </c>
      <c r="O2" s="8" t="s">
        <v>115</v>
      </c>
      <c r="P2" s="8" t="s">
        <v>116</v>
      </c>
      <c r="Q2" s="8" t="s">
        <v>141</v>
      </c>
      <c r="R2" s="8" t="s">
        <v>143</v>
      </c>
      <c r="S2" s="8" t="s">
        <v>235</v>
      </c>
      <c r="T2" s="8" t="s">
        <v>145</v>
      </c>
    </row>
    <row r="3" spans="1:20" ht="15.75" customHeight="1">
      <c r="A3" s="177" t="s">
        <v>236</v>
      </c>
      <c r="B3" s="178"/>
      <c r="C3" s="178"/>
      <c r="D3" s="178"/>
      <c r="E3" s="178"/>
      <c r="F3" s="178"/>
      <c r="G3" s="178"/>
      <c r="H3" s="178"/>
      <c r="I3" s="178"/>
      <c r="J3" s="178"/>
      <c r="K3" s="178"/>
      <c r="L3" s="178"/>
      <c r="M3" s="178"/>
      <c r="N3" s="178"/>
      <c r="O3" s="178"/>
      <c r="P3" s="178"/>
      <c r="Q3" s="178"/>
      <c r="R3" s="178"/>
      <c r="S3" s="178"/>
      <c r="T3" s="178"/>
    </row>
    <row r="4" spans="1:20" ht="15.75" customHeight="1">
      <c r="A4" s="119" t="s">
        <v>238</v>
      </c>
      <c r="B4" s="180"/>
      <c r="C4" s="180"/>
      <c r="D4" s="180"/>
      <c r="E4" s="180"/>
      <c r="F4" s="180"/>
      <c r="G4" s="180"/>
      <c r="H4" s="180"/>
      <c r="I4" s="180"/>
      <c r="J4" s="180"/>
      <c r="K4" s="180"/>
      <c r="L4" s="180"/>
      <c r="M4" s="180"/>
      <c r="N4" s="180"/>
      <c r="O4" s="180"/>
      <c r="P4" s="180"/>
      <c r="Q4" s="180"/>
      <c r="R4" s="180"/>
      <c r="S4" s="180"/>
      <c r="T4" s="180"/>
    </row>
    <row r="5" spans="1:20" ht="15.75" customHeight="1">
      <c r="A5" s="11" t="s">
        <v>239</v>
      </c>
      <c r="B5" s="248">
        <v>-1</v>
      </c>
      <c r="C5" s="234">
        <f>D5</f>
        <v>17646440</v>
      </c>
      <c r="D5" s="234">
        <f>('Dự toán báo cáo thu nhập'!B6+'Dự toán báo cáo thu nhập'!B7+'Dự toán báo cáo thu nhập'!B24-'Dự toán báo cáo thu nhập'!B23)/$C$35*$C$34</f>
        <v>17646440</v>
      </c>
      <c r="E5" s="234">
        <f>('Dự toán báo cáo thu nhập'!C6+'Dự toán báo cáo thu nhập'!C7+'Dự toán báo cáo thu nhập'!C24-'Dự toán báo cáo thu nhập'!C23)/$C$35*$C$34</f>
        <v>17955268.333333336</v>
      </c>
      <c r="F5" s="234">
        <f>('Dự toán báo cáo thu nhập'!D6+'Dự toán báo cáo thu nhập'!D7+'Dự toán báo cáo thu nhập'!D24-'Dự toán báo cáo thu nhập'!D23)/$C$35*$C$34</f>
        <v>17955268.333333336</v>
      </c>
      <c r="G5" s="234">
        <f>('Dự toán báo cáo thu nhập'!E6+'Dự toán báo cáo thu nhập'!E7+'Dự toán báo cáo thu nhập'!E24-'Dự toán báo cáo thu nhập'!E23)/$C$35*$C$34</f>
        <v>17955268.333333336</v>
      </c>
      <c r="H5" s="234">
        <f>('Dự toán báo cáo thu nhập'!F6+'Dự toán báo cáo thu nhập'!F7+'Dự toán báo cáo thu nhập'!F24-'Dự toán báo cáo thu nhập'!F23)/$C$35*$C$34</f>
        <v>17955268.333333336</v>
      </c>
      <c r="I5" s="234">
        <f>('Dự toán báo cáo thu nhập'!G6+'Dự toán báo cáo thu nhập'!G7+'Dự toán báo cáo thu nhập'!G24-'Dự toán báo cáo thu nhập'!G23)/$C$35*$C$34</f>
        <v>17955268.333333336</v>
      </c>
      <c r="J5" s="234">
        <f>('Dự toán báo cáo thu nhập'!H6+'Dự toán báo cáo thu nhập'!H7+'Dự toán báo cáo thu nhập'!H24-'Dự toán báo cáo thu nhập'!H23)/$C$35*$C$34</f>
        <v>17955268.333333336</v>
      </c>
      <c r="K5" s="234">
        <f>('Dự toán báo cáo thu nhập'!I6+'Dự toán báo cáo thu nhập'!I7+'Dự toán báo cáo thu nhập'!I24-'Dự toán báo cáo thu nhập'!I23)/$C$35*$C$34</f>
        <v>17955268.333333336</v>
      </c>
      <c r="L5" s="234">
        <f>('Dự toán báo cáo thu nhập'!J6+'Dự toán báo cáo thu nhập'!J7+'Dự toán báo cáo thu nhập'!J24-'Dự toán báo cáo thu nhập'!J23)/$C$35*$C$34</f>
        <v>17955268.333333336</v>
      </c>
      <c r="M5" s="234">
        <f>('Dự toán báo cáo thu nhập'!K6+'Dự toán báo cáo thu nhập'!K7+'Dự toán báo cáo thu nhập'!K24-'Dự toán báo cáo thu nhập'!K23)/$C$35*$C$34</f>
        <v>17955268.333333336</v>
      </c>
      <c r="N5" s="234">
        <f>('Dự toán báo cáo thu nhập'!L6+'Dự toán báo cáo thu nhập'!L7+'Dự toán báo cáo thu nhập'!L24-'Dự toán báo cáo thu nhập'!L23)/$C$35*$C$34</f>
        <v>17955268.333333336</v>
      </c>
      <c r="O5" s="234">
        <f>('Dự toán báo cáo thu nhập'!M6+'Dự toán báo cáo thu nhập'!M7+'Dự toán báo cáo thu nhập'!M24-'Dự toán báo cáo thu nhập'!M23)/$C$35*$C$34</f>
        <v>17955268.333333336</v>
      </c>
      <c r="P5" s="234">
        <f>O5</f>
        <v>17955268.333333336</v>
      </c>
      <c r="Q5" s="234">
        <f>('Dự toán báo cáo thu nhập'!O6+'Dự toán báo cáo thu nhập'!O7+'Dự toán báo cáo thu nhập'!O24-'Dự toán báo cáo thu nhập'!O23)/$C$36*$C$34</f>
        <v>19078943.97986111</v>
      </c>
      <c r="R5" s="234">
        <f>('Dự toán báo cáo thu nhập'!P6+'Dự toán báo cáo thu nhập'!P7+'Dự toán báo cáo thu nhập'!P24-'Dự toán báo cáo thu nhập'!P23)/$C$36*$C$34</f>
        <v>20175554.011180557</v>
      </c>
      <c r="S5" s="234">
        <f>('Dự toán báo cáo thu nhập'!Q6+'Dự toán báo cáo thu nhập'!Q7+'Dự toán báo cáo thu nhập'!Q24-'Dự toán báo cáo thu nhập'!Q23)/$C$36*$C$34</f>
        <v>21334596.43374306</v>
      </c>
      <c r="T5" s="234">
        <f>('Dự toán báo cáo thu nhập'!R6+'Dự toán báo cáo thu nhập'!R7+'Dự toán báo cáo thu nhập'!R24-'Dự toán báo cáo thu nhập'!R23)/$C$36*$C$34</f>
        <v>22561824.864525139</v>
      </c>
    </row>
    <row r="6" spans="1:20" ht="15.75" customHeight="1">
      <c r="A6" s="11" t="s">
        <v>240</v>
      </c>
      <c r="B6" s="248" t="s">
        <v>340</v>
      </c>
      <c r="C6" s="234">
        <f t="shared" ref="C6:T6" si="0">C27-C5-C7-C8-C13</f>
        <v>140521560</v>
      </c>
      <c r="D6" s="234">
        <f t="shared" si="0"/>
        <v>170621593.33333334</v>
      </c>
      <c r="E6" s="234">
        <f t="shared" si="0"/>
        <v>158972890</v>
      </c>
      <c r="F6" s="234">
        <f t="shared" si="0"/>
        <v>147658740</v>
      </c>
      <c r="G6" s="234">
        <f t="shared" si="0"/>
        <v>136344590</v>
      </c>
      <c r="H6" s="234">
        <f t="shared" si="0"/>
        <v>125030440</v>
      </c>
      <c r="I6" s="234">
        <f t="shared" si="0"/>
        <v>113716290</v>
      </c>
      <c r="J6" s="234">
        <f t="shared" si="0"/>
        <v>102402140</v>
      </c>
      <c r="K6" s="234">
        <f t="shared" si="0"/>
        <v>91087990</v>
      </c>
      <c r="L6" s="234">
        <f t="shared" si="0"/>
        <v>79773840</v>
      </c>
      <c r="M6" s="234">
        <f t="shared" si="0"/>
        <v>68459690</v>
      </c>
      <c r="N6" s="234">
        <f t="shared" si="0"/>
        <v>57145539.999999985</v>
      </c>
      <c r="O6" s="234">
        <f t="shared" si="0"/>
        <v>45831389.999999985</v>
      </c>
      <c r="P6" s="234">
        <f t="shared" si="0"/>
        <v>45831389.999999985</v>
      </c>
      <c r="Q6" s="234">
        <f t="shared" si="0"/>
        <v>49854100.891666546</v>
      </c>
      <c r="R6" s="234">
        <f t="shared" si="0"/>
        <v>62363958.097499594</v>
      </c>
      <c r="S6" s="234">
        <f t="shared" si="0"/>
        <v>93105619.3774295</v>
      </c>
      <c r="T6" s="234">
        <f t="shared" si="0"/>
        <v>194965083.58803183</v>
      </c>
    </row>
    <row r="7" spans="1:20" ht="15.75" customHeight="1">
      <c r="A7" s="11" t="s">
        <v>241</v>
      </c>
      <c r="B7" s="248">
        <v>-3</v>
      </c>
      <c r="C7" s="234">
        <v>0</v>
      </c>
      <c r="D7" s="234">
        <f>('Dự toán báo cáo thu nhập'!B3-'Dự toán báo cáo thu nhập'!B4)/$C$35*$C$31</f>
        <v>3946666.6666666665</v>
      </c>
      <c r="E7" s="234">
        <f>('Dự toán báo cáo thu nhập'!C3-'Dự toán báo cáo thu nhập'!C4)/$C$35*$C$31</f>
        <v>4420000</v>
      </c>
      <c r="F7" s="234">
        <f>('Dự toán báo cáo thu nhập'!D3-'Dự toán báo cáo thu nhập'!D4)/$C$35*$C$31</f>
        <v>4420000</v>
      </c>
      <c r="G7" s="234">
        <f>('Dự toán báo cáo thu nhập'!E3-'Dự toán báo cáo thu nhập'!E4)/$C$35*$C$31</f>
        <v>4420000</v>
      </c>
      <c r="H7" s="234">
        <f>('Dự toán báo cáo thu nhập'!F3-'Dự toán báo cáo thu nhập'!F4)/$C$35*$C$31</f>
        <v>4420000</v>
      </c>
      <c r="I7" s="234">
        <f>('Dự toán báo cáo thu nhập'!G3-'Dự toán báo cáo thu nhập'!G4)/$C$35*$C$31</f>
        <v>4420000</v>
      </c>
      <c r="J7" s="234">
        <f>('Dự toán báo cáo thu nhập'!H3-'Dự toán báo cáo thu nhập'!H4)/$C$35*$C$31</f>
        <v>4420000</v>
      </c>
      <c r="K7" s="234">
        <f>('Dự toán báo cáo thu nhập'!I3-'Dự toán báo cáo thu nhập'!I4)/$C$35*$C$31</f>
        <v>4420000</v>
      </c>
      <c r="L7" s="234">
        <f>('Dự toán báo cáo thu nhập'!J3-'Dự toán báo cáo thu nhập'!J4)/$C$35*$C$31</f>
        <v>4420000</v>
      </c>
      <c r="M7" s="234">
        <f>('Dự toán báo cáo thu nhập'!K3-'Dự toán báo cáo thu nhập'!K4)/$C$35*$C$31</f>
        <v>4420000</v>
      </c>
      <c r="N7" s="234">
        <f>('Dự toán báo cáo thu nhập'!L3-'Dự toán báo cáo thu nhập'!L4)/$C$35*$C$31</f>
        <v>4420000</v>
      </c>
      <c r="O7" s="234">
        <f>('Dự toán báo cáo thu nhập'!M3-'Dự toán báo cáo thu nhập'!M4)/$C$35*$C$31</f>
        <v>4420000</v>
      </c>
      <c r="P7" s="234">
        <f>O7</f>
        <v>4420000</v>
      </c>
      <c r="Q7" s="234">
        <f>('Dự toán báo cáo thu nhập'!O3-'Dự toán báo cáo thu nhập'!O4)/$C$36*$C$31</f>
        <v>4962583.333333333</v>
      </c>
      <c r="R7" s="234">
        <f>('Dự toán báo cáo thu nhập'!P3-'Dự toán báo cáo thu nhập'!P4)/$C$36*$C$31</f>
        <v>5607719.1666666651</v>
      </c>
      <c r="S7" s="234">
        <f>('Dự toán báo cáo thu nhập'!Q3-'Dự toán báo cáo thu nhập'!Q4)/$C$36*$C$31</f>
        <v>6336722.6583333304</v>
      </c>
      <c r="T7" s="234">
        <f>('Dự toán báo cáo thu nhập'!R3-'Dự toán báo cáo thu nhập'!R4)/$C$36*$C$31</f>
        <v>7160496.6039166637</v>
      </c>
    </row>
    <row r="8" spans="1:20" ht="15.75" customHeight="1">
      <c r="A8" s="183" t="s">
        <v>153</v>
      </c>
      <c r="B8" s="249">
        <v>-4</v>
      </c>
      <c r="C8" s="235">
        <v>0</v>
      </c>
      <c r="D8" s="235">
        <f>'Dự toán báo cáo thu nhập'!B6/$C$35*$C$30</f>
        <v>2570000</v>
      </c>
      <c r="E8" s="235">
        <f>'Dự toán báo cáo thu nhập'!C6/$C$35*$C$30</f>
        <v>2784166.666666667</v>
      </c>
      <c r="F8" s="235">
        <f>'Dự toán báo cáo thu nhập'!D6/$C$35*$C$30</f>
        <v>2784166.666666667</v>
      </c>
      <c r="G8" s="235">
        <f>'Dự toán báo cáo thu nhập'!E6/$C$35*$C$30</f>
        <v>2784166.666666667</v>
      </c>
      <c r="H8" s="235">
        <f>'Dự toán báo cáo thu nhập'!F6/$C$35*$C$30</f>
        <v>2784166.666666667</v>
      </c>
      <c r="I8" s="235">
        <f>'Dự toán báo cáo thu nhập'!G6/$C$35*$C$30</f>
        <v>2784166.666666667</v>
      </c>
      <c r="J8" s="235">
        <f>'Dự toán báo cáo thu nhập'!H6/$C$35*$C$30</f>
        <v>2784166.666666667</v>
      </c>
      <c r="K8" s="235">
        <f>'Dự toán báo cáo thu nhập'!I6/$C$35*$C$30</f>
        <v>2784166.666666667</v>
      </c>
      <c r="L8" s="235">
        <f>'Dự toán báo cáo thu nhập'!J6/$C$35*$C$30</f>
        <v>2784166.666666667</v>
      </c>
      <c r="M8" s="235">
        <f>'Dự toán báo cáo thu nhập'!K6/$C$35*$C$30</f>
        <v>2784166.666666667</v>
      </c>
      <c r="N8" s="235">
        <f>'Dự toán báo cáo thu nhập'!L6/$C$35*$C$30</f>
        <v>2784166.666666667</v>
      </c>
      <c r="O8" s="235">
        <f>'Dự toán báo cáo thu nhập'!M6/$C$35*$C$30</f>
        <v>2784166.666666667</v>
      </c>
      <c r="P8" s="235">
        <f>O8</f>
        <v>2784166.666666667</v>
      </c>
      <c r="Q8" s="235">
        <f>'Dự toán báo cáo thu nhập'!O6/$C$36*$C$30</f>
        <v>3134239.9305555555</v>
      </c>
      <c r="R8" s="235">
        <f>'Dự toán báo cáo thu nhập'!P6/$C$36*$C$30</f>
        <v>3447663.923611111</v>
      </c>
      <c r="S8" s="235">
        <f>'Dự toán báo cáo thu nhập'!Q6/$C$36*$C$30</f>
        <v>3792430.315972222</v>
      </c>
      <c r="T8" s="235">
        <f>'Dự toán báo cáo thu nhập'!R6/$C$36*$C$30</f>
        <v>4171673.3475694451</v>
      </c>
    </row>
    <row r="9" spans="1:20" ht="15.75" customHeight="1">
      <c r="A9" s="11" t="s">
        <v>244</v>
      </c>
      <c r="B9" s="250" t="s">
        <v>341</v>
      </c>
      <c r="C9" s="234">
        <f t="shared" ref="C9:T9" si="1">SUM(C5:C8)</f>
        <v>158168000</v>
      </c>
      <c r="D9" s="234">
        <f t="shared" si="1"/>
        <v>194784700</v>
      </c>
      <c r="E9" s="234">
        <f t="shared" si="1"/>
        <v>184132325</v>
      </c>
      <c r="F9" s="234">
        <f t="shared" si="1"/>
        <v>172818175</v>
      </c>
      <c r="G9" s="234">
        <f t="shared" si="1"/>
        <v>161504025</v>
      </c>
      <c r="H9" s="234">
        <f t="shared" si="1"/>
        <v>150189875</v>
      </c>
      <c r="I9" s="234">
        <f t="shared" si="1"/>
        <v>138875725</v>
      </c>
      <c r="J9" s="234">
        <f t="shared" si="1"/>
        <v>127561575.00000001</v>
      </c>
      <c r="K9" s="234">
        <f t="shared" si="1"/>
        <v>116247425.00000001</v>
      </c>
      <c r="L9" s="234">
        <f t="shared" si="1"/>
        <v>104933275.00000001</v>
      </c>
      <c r="M9" s="234">
        <f t="shared" si="1"/>
        <v>93619125.000000015</v>
      </c>
      <c r="N9" s="234">
        <f t="shared" si="1"/>
        <v>82304974.999999985</v>
      </c>
      <c r="O9" s="234">
        <f t="shared" si="1"/>
        <v>70990824.999999985</v>
      </c>
      <c r="P9" s="234">
        <f t="shared" si="1"/>
        <v>70990824.999999985</v>
      </c>
      <c r="Q9" s="234">
        <f t="shared" si="1"/>
        <v>77029868.135416538</v>
      </c>
      <c r="R9" s="234">
        <f t="shared" si="1"/>
        <v>91594895.198957935</v>
      </c>
      <c r="S9" s="234">
        <f t="shared" si="1"/>
        <v>124569368.78547812</v>
      </c>
      <c r="T9" s="234">
        <f t="shared" si="1"/>
        <v>228859078.40404308</v>
      </c>
    </row>
    <row r="10" spans="1:20" ht="15.75" customHeight="1">
      <c r="A10" s="188" t="s">
        <v>245</v>
      </c>
      <c r="B10" s="251"/>
      <c r="C10" s="236"/>
      <c r="D10" s="236"/>
      <c r="E10" s="236"/>
      <c r="F10" s="236"/>
      <c r="G10" s="236"/>
      <c r="H10" s="236"/>
      <c r="I10" s="236"/>
      <c r="J10" s="236"/>
      <c r="K10" s="236"/>
      <c r="L10" s="236"/>
      <c r="M10" s="236"/>
      <c r="N10" s="236"/>
      <c r="O10" s="236"/>
      <c r="P10" s="236"/>
      <c r="Q10" s="236"/>
      <c r="R10" s="236"/>
      <c r="S10" s="236"/>
      <c r="T10" s="236"/>
    </row>
    <row r="11" spans="1:20" ht="15.75" customHeight="1">
      <c r="A11" s="11" t="s">
        <v>246</v>
      </c>
      <c r="B11" s="250">
        <v>-6</v>
      </c>
      <c r="C11" s="237">
        <f>'Giả định chi phí'!G31</f>
        <v>91182000</v>
      </c>
      <c r="D11" s="237">
        <f t="shared" ref="D11:T11" si="2">C11</f>
        <v>91182000</v>
      </c>
      <c r="E11" s="237">
        <f t="shared" si="2"/>
        <v>91182000</v>
      </c>
      <c r="F11" s="237">
        <f t="shared" si="2"/>
        <v>91182000</v>
      </c>
      <c r="G11" s="237">
        <f t="shared" si="2"/>
        <v>91182000</v>
      </c>
      <c r="H11" s="237">
        <f t="shared" si="2"/>
        <v>91182000</v>
      </c>
      <c r="I11" s="237">
        <f t="shared" si="2"/>
        <v>91182000</v>
      </c>
      <c r="J11" s="237">
        <f t="shared" si="2"/>
        <v>91182000</v>
      </c>
      <c r="K11" s="237">
        <f t="shared" si="2"/>
        <v>91182000</v>
      </c>
      <c r="L11" s="237">
        <f t="shared" si="2"/>
        <v>91182000</v>
      </c>
      <c r="M11" s="237">
        <f t="shared" si="2"/>
        <v>91182000</v>
      </c>
      <c r="N11" s="237">
        <f t="shared" si="2"/>
        <v>91182000</v>
      </c>
      <c r="O11" s="237">
        <f t="shared" si="2"/>
        <v>91182000</v>
      </c>
      <c r="P11" s="237">
        <f t="shared" si="2"/>
        <v>91182000</v>
      </c>
      <c r="Q11" s="237">
        <f t="shared" si="2"/>
        <v>91182000</v>
      </c>
      <c r="R11" s="237">
        <f t="shared" si="2"/>
        <v>91182000</v>
      </c>
      <c r="S11" s="237">
        <f t="shared" si="2"/>
        <v>91182000</v>
      </c>
      <c r="T11" s="237">
        <f t="shared" si="2"/>
        <v>91182000</v>
      </c>
    </row>
    <row r="12" spans="1:20" ht="15.75" customHeight="1">
      <c r="A12" s="11" t="s">
        <v>247</v>
      </c>
      <c r="B12" s="248">
        <v>-7</v>
      </c>
      <c r="C12" s="237">
        <v>0</v>
      </c>
      <c r="D12" s="237">
        <f>C12-'Dự toán báo cáo thu nhập'!B18</f>
        <v>-1519700</v>
      </c>
      <c r="E12" s="234">
        <f>D12-'Dự toán báo cáo thu nhập'!C18</f>
        <v>-3039400</v>
      </c>
      <c r="F12" s="234">
        <f>E12-'Dự toán báo cáo thu nhập'!D18</f>
        <v>-4559100</v>
      </c>
      <c r="G12" s="234">
        <f>F12-'Dự toán báo cáo thu nhập'!E18</f>
        <v>-6078800</v>
      </c>
      <c r="H12" s="234">
        <f>G12-'Dự toán báo cáo thu nhập'!F18</f>
        <v>-7598500</v>
      </c>
      <c r="I12" s="234">
        <f>H12-'Dự toán báo cáo thu nhập'!G18</f>
        <v>-9118200</v>
      </c>
      <c r="J12" s="234">
        <f>I12-'Dự toán báo cáo thu nhập'!H18</f>
        <v>-10637900</v>
      </c>
      <c r="K12" s="234">
        <f>J12-'Dự toán báo cáo thu nhập'!I18</f>
        <v>-12157600</v>
      </c>
      <c r="L12" s="234">
        <f>K12-'Dự toán báo cáo thu nhập'!J18</f>
        <v>-13677300</v>
      </c>
      <c r="M12" s="234">
        <f>L12-'Dự toán báo cáo thu nhập'!K18</f>
        <v>-15197000</v>
      </c>
      <c r="N12" s="234">
        <f>M12-'Dự toán báo cáo thu nhập'!L18</f>
        <v>-16716700</v>
      </c>
      <c r="O12" s="234">
        <f>N12-'Dự toán báo cáo thu nhập'!M18</f>
        <v>-18236400</v>
      </c>
      <c r="P12" s="234">
        <f>C12-'Dự toán báo cáo thu nhập'!N18</f>
        <v>-18236400</v>
      </c>
      <c r="Q12" s="234">
        <f>P12-'Dự toán báo cáo thu nhập'!O18</f>
        <v>-36472800</v>
      </c>
      <c r="R12" s="234">
        <f>Q12-'Dự toán báo cáo thu nhập'!P18</f>
        <v>-54709200</v>
      </c>
      <c r="S12" s="234">
        <f>R12-'Dự toán báo cáo thu nhập'!Q18</f>
        <v>-72945600</v>
      </c>
      <c r="T12" s="234">
        <f>S12-'Dự toán báo cáo thu nhập'!R18</f>
        <v>-91182000</v>
      </c>
    </row>
    <row r="13" spans="1:20" ht="15.75" customHeight="1">
      <c r="A13" s="11" t="s">
        <v>248</v>
      </c>
      <c r="B13" s="250" t="s">
        <v>342</v>
      </c>
      <c r="C13" s="234">
        <f t="shared" ref="C13:T13" si="3">C11+C12</f>
        <v>91182000</v>
      </c>
      <c r="D13" s="234">
        <f t="shared" si="3"/>
        <v>89662300</v>
      </c>
      <c r="E13" s="234">
        <f t="shared" si="3"/>
        <v>88142600</v>
      </c>
      <c r="F13" s="234">
        <f t="shared" si="3"/>
        <v>86622900</v>
      </c>
      <c r="G13" s="234">
        <f t="shared" si="3"/>
        <v>85103200</v>
      </c>
      <c r="H13" s="234">
        <f t="shared" si="3"/>
        <v>83583500</v>
      </c>
      <c r="I13" s="234">
        <f t="shared" si="3"/>
        <v>82063800</v>
      </c>
      <c r="J13" s="234">
        <f t="shared" si="3"/>
        <v>80544100</v>
      </c>
      <c r="K13" s="234">
        <f t="shared" si="3"/>
        <v>79024400</v>
      </c>
      <c r="L13" s="234">
        <f t="shared" si="3"/>
        <v>77504700</v>
      </c>
      <c r="M13" s="234">
        <f t="shared" si="3"/>
        <v>75985000</v>
      </c>
      <c r="N13" s="234">
        <f t="shared" si="3"/>
        <v>74465300</v>
      </c>
      <c r="O13" s="234">
        <f t="shared" si="3"/>
        <v>72945600</v>
      </c>
      <c r="P13" s="234">
        <f t="shared" si="3"/>
        <v>72945600</v>
      </c>
      <c r="Q13" s="234">
        <f t="shared" si="3"/>
        <v>54709200</v>
      </c>
      <c r="R13" s="234">
        <f t="shared" si="3"/>
        <v>36472800</v>
      </c>
      <c r="S13" s="234">
        <f t="shared" si="3"/>
        <v>18236400</v>
      </c>
      <c r="T13" s="234">
        <f t="shared" si="3"/>
        <v>0</v>
      </c>
    </row>
    <row r="14" spans="1:20" ht="15.75" customHeight="1">
      <c r="A14" s="188" t="s">
        <v>249</v>
      </c>
      <c r="B14" s="252" t="s">
        <v>343</v>
      </c>
      <c r="C14" s="238">
        <f t="shared" ref="C14:T14" si="4">C9+C13</f>
        <v>249350000</v>
      </c>
      <c r="D14" s="238">
        <f t="shared" si="4"/>
        <v>284447000</v>
      </c>
      <c r="E14" s="238">
        <f t="shared" si="4"/>
        <v>272274925</v>
      </c>
      <c r="F14" s="238">
        <f t="shared" si="4"/>
        <v>259441075</v>
      </c>
      <c r="G14" s="238">
        <f t="shared" si="4"/>
        <v>246607225</v>
      </c>
      <c r="H14" s="238">
        <f t="shared" si="4"/>
        <v>233773375</v>
      </c>
      <c r="I14" s="238">
        <f t="shared" si="4"/>
        <v>220939525</v>
      </c>
      <c r="J14" s="238">
        <f t="shared" si="4"/>
        <v>208105675</v>
      </c>
      <c r="K14" s="238">
        <f t="shared" si="4"/>
        <v>195271825</v>
      </c>
      <c r="L14" s="238">
        <f t="shared" si="4"/>
        <v>182437975</v>
      </c>
      <c r="M14" s="238">
        <f t="shared" si="4"/>
        <v>169604125</v>
      </c>
      <c r="N14" s="238">
        <f t="shared" si="4"/>
        <v>156770275</v>
      </c>
      <c r="O14" s="238">
        <f t="shared" si="4"/>
        <v>143936425</v>
      </c>
      <c r="P14" s="238">
        <f t="shared" si="4"/>
        <v>143936425</v>
      </c>
      <c r="Q14" s="238">
        <f t="shared" si="4"/>
        <v>131739068.13541654</v>
      </c>
      <c r="R14" s="238">
        <f t="shared" si="4"/>
        <v>128067695.19895793</v>
      </c>
      <c r="S14" s="238">
        <f t="shared" si="4"/>
        <v>142805768.78547812</v>
      </c>
      <c r="T14" s="238">
        <f t="shared" si="4"/>
        <v>228859078.40404308</v>
      </c>
    </row>
    <row r="15" spans="1:20" ht="15.75" customHeight="1">
      <c r="A15" s="177" t="s">
        <v>250</v>
      </c>
      <c r="B15" s="253"/>
      <c r="C15" s="239"/>
      <c r="D15" s="239"/>
      <c r="E15" s="239"/>
      <c r="F15" s="239"/>
      <c r="G15" s="239"/>
      <c r="H15" s="239"/>
      <c r="I15" s="239"/>
      <c r="J15" s="239"/>
      <c r="K15" s="239"/>
      <c r="L15" s="239"/>
      <c r="M15" s="239"/>
      <c r="N15" s="239"/>
      <c r="O15" s="239"/>
      <c r="P15" s="239"/>
      <c r="Q15" s="239"/>
      <c r="R15" s="239"/>
      <c r="S15" s="240"/>
      <c r="T15" s="240"/>
    </row>
    <row r="16" spans="1:20" ht="15.75" customHeight="1">
      <c r="A16" s="188" t="s">
        <v>251</v>
      </c>
      <c r="B16" s="251"/>
      <c r="C16" s="236"/>
      <c r="D16" s="236"/>
      <c r="E16" s="236"/>
      <c r="F16" s="236"/>
      <c r="G16" s="236"/>
      <c r="H16" s="236"/>
      <c r="I16" s="236"/>
      <c r="J16" s="236"/>
      <c r="K16" s="236"/>
      <c r="L16" s="236"/>
      <c r="M16" s="236"/>
      <c r="N16" s="236"/>
      <c r="O16" s="236"/>
      <c r="P16" s="236"/>
      <c r="Q16" s="236"/>
      <c r="R16" s="236"/>
      <c r="S16" s="236"/>
      <c r="T16" s="236"/>
    </row>
    <row r="17" spans="1:20" ht="15.75" customHeight="1">
      <c r="A17" s="11" t="s">
        <v>252</v>
      </c>
      <c r="B17" s="248"/>
      <c r="C17" s="234"/>
      <c r="D17" s="234"/>
      <c r="E17" s="234"/>
      <c r="F17" s="234"/>
      <c r="G17" s="234"/>
      <c r="H17" s="234"/>
      <c r="I17" s="234"/>
      <c r="J17" s="234"/>
      <c r="K17" s="234"/>
      <c r="L17" s="234"/>
      <c r="M17" s="234"/>
      <c r="N17" s="234"/>
      <c r="O17" s="234"/>
      <c r="P17" s="234"/>
      <c r="Q17" s="234"/>
      <c r="R17" s="234"/>
      <c r="S17" s="234"/>
      <c r="T17" s="234"/>
    </row>
    <row r="18" spans="1:20" ht="15.75" customHeight="1">
      <c r="A18" s="11" t="s">
        <v>254</v>
      </c>
      <c r="B18" s="248">
        <v>-10</v>
      </c>
      <c r="C18" s="234">
        <v>0</v>
      </c>
      <c r="D18" s="234">
        <f>('Dự toán báo cáo thu nhập'!B6+'Dự toán báo cáo thu nhập'!B7)/$C$35*$C$32</f>
        <v>7941300</v>
      </c>
      <c r="E18" s="234">
        <f>('Dự toán báo cáo thu nhập'!C6+'Dự toán báo cáo thu nhập'!C7)/$C$35*$C$32</f>
        <v>8603075</v>
      </c>
      <c r="F18" s="234">
        <f>('Dự toán báo cáo thu nhập'!D6+'Dự toán báo cáo thu nhập'!D7)/$C$35*$C$32</f>
        <v>8603075</v>
      </c>
      <c r="G18" s="234">
        <f>('Dự toán báo cáo thu nhập'!E6+'Dự toán báo cáo thu nhập'!E7)/$C$35*$C$32</f>
        <v>8603075</v>
      </c>
      <c r="H18" s="234">
        <f>('Dự toán báo cáo thu nhập'!F6+'Dự toán báo cáo thu nhập'!F7)/$C$35*$C$32</f>
        <v>8603075</v>
      </c>
      <c r="I18" s="234">
        <f>('Dự toán báo cáo thu nhập'!G6+'Dự toán báo cáo thu nhập'!G7)/$C$35*$C$32</f>
        <v>8603075</v>
      </c>
      <c r="J18" s="234">
        <f>('Dự toán báo cáo thu nhập'!H6+'Dự toán báo cáo thu nhập'!H7)/$C$35*$C$32</f>
        <v>8603075</v>
      </c>
      <c r="K18" s="234">
        <f>('Dự toán báo cáo thu nhập'!I6+'Dự toán báo cáo thu nhập'!I7)/$C$35*$C$32</f>
        <v>8603075</v>
      </c>
      <c r="L18" s="234">
        <f>('Dự toán báo cáo thu nhập'!J6+'Dự toán báo cáo thu nhập'!J7)/$C$35*$C$32</f>
        <v>8603075</v>
      </c>
      <c r="M18" s="234">
        <f>('Dự toán báo cáo thu nhập'!K6+'Dự toán báo cáo thu nhập'!K7)/$C$35*$C$32</f>
        <v>8603075</v>
      </c>
      <c r="N18" s="234">
        <f>('Dự toán báo cáo thu nhập'!L6+'Dự toán báo cáo thu nhập'!L7)/$C$35*$C$32</f>
        <v>8603075</v>
      </c>
      <c r="O18" s="234">
        <f>('Dự toán báo cáo thu nhập'!M6+'Dự toán báo cáo thu nhập'!M7)/$C$35*$C$32</f>
        <v>8603075</v>
      </c>
      <c r="P18" s="234">
        <f>O18</f>
        <v>8603075</v>
      </c>
      <c r="Q18" s="234">
        <f>('Dự toán báo cáo thu nhập'!O6+'Dự toán báo cáo thu nhập'!O7)/$C$36*$C$32</f>
        <v>9684801.385416666</v>
      </c>
      <c r="R18" s="234">
        <f>('Dự toán báo cáo thu nhập'!P6+'Dự toán báo cáo thu nhập'!P7)/$C$36*$C$32</f>
        <v>10653281.523958333</v>
      </c>
      <c r="S18" s="234">
        <f>('Dự toán báo cáo thu nhập'!Q6+'Dự toán báo cáo thu nhập'!Q7)/$C$36*$C$32</f>
        <v>11718609.676354166</v>
      </c>
      <c r="T18" s="234">
        <f>('Dự toán báo cáo thu nhập'!R6+'Dự toán báo cáo thu nhập'!R7)/$C$36*$C$32</f>
        <v>12890470.643989585</v>
      </c>
    </row>
    <row r="19" spans="1:20" ht="15.75" customHeight="1">
      <c r="A19" s="11" t="s">
        <v>255</v>
      </c>
      <c r="B19" s="248">
        <v>-11</v>
      </c>
      <c r="C19" s="234">
        <v>0</v>
      </c>
      <c r="D19" s="234">
        <f>'Dự toán báo cáo thu nhập'!B10/$C$35*$C$33</f>
        <v>45695000</v>
      </c>
      <c r="E19" s="234">
        <f>'Dự toán báo cáo thu nhập'!C10/$C$35*$C$33</f>
        <v>45695000</v>
      </c>
      <c r="F19" s="234">
        <f>'Dự toán báo cáo thu nhập'!D10/$C$35*$C$33</f>
        <v>45695000</v>
      </c>
      <c r="G19" s="234">
        <f>'Dự toán báo cáo thu nhập'!E10/$C$35*$C$33</f>
        <v>45695000</v>
      </c>
      <c r="H19" s="234">
        <f>'Dự toán báo cáo thu nhập'!F10/$C$35*$C$33</f>
        <v>45695000</v>
      </c>
      <c r="I19" s="234">
        <f>'Dự toán báo cáo thu nhập'!G10/$C$35*$C$33</f>
        <v>45695000</v>
      </c>
      <c r="J19" s="234">
        <f>'Dự toán báo cáo thu nhập'!H10/$C$35*$C$33</f>
        <v>45695000</v>
      </c>
      <c r="K19" s="234">
        <f>'Dự toán báo cáo thu nhập'!I10/$C$35*$C$33</f>
        <v>45695000</v>
      </c>
      <c r="L19" s="234">
        <f>'Dự toán báo cáo thu nhập'!J10/$C$35*$C$33</f>
        <v>45695000</v>
      </c>
      <c r="M19" s="234">
        <f>'Dự toán báo cáo thu nhập'!K10/$C$35*$C$33</f>
        <v>45695000</v>
      </c>
      <c r="N19" s="234">
        <f>'Dự toán báo cáo thu nhập'!L10/$C$35*$C$33</f>
        <v>45695000</v>
      </c>
      <c r="O19" s="234">
        <f>'Dự toán báo cáo thu nhập'!M10/$C$35*$C$33</f>
        <v>45695000</v>
      </c>
      <c r="P19" s="234">
        <f>O19</f>
        <v>45695000</v>
      </c>
      <c r="Q19" s="234">
        <f>'Dự toán báo cáo thu nhập'!O10/$C$36*$C$33</f>
        <v>47522800</v>
      </c>
      <c r="R19" s="234">
        <f>'Dự toán báo cáo thu nhập'!P10/$C$36*$C$33</f>
        <v>49423712</v>
      </c>
      <c r="S19" s="234">
        <f>'Dự toán báo cáo thu nhập'!Q10/$C$36*$C$33</f>
        <v>51400660.480000004</v>
      </c>
      <c r="T19" s="234">
        <f>'Dự toán báo cáo thu nhập'!R10/$C$36*$C$33</f>
        <v>53456686.8992</v>
      </c>
    </row>
    <row r="20" spans="1:20" ht="15.75" customHeight="1">
      <c r="A20" s="11" t="s">
        <v>256</v>
      </c>
      <c r="B20" s="248" t="s">
        <v>344</v>
      </c>
      <c r="C20" s="234">
        <f t="shared" ref="C20:T20" si="5">C18+C19</f>
        <v>0</v>
      </c>
      <c r="D20" s="234">
        <f t="shared" si="5"/>
        <v>53636300</v>
      </c>
      <c r="E20" s="234">
        <f t="shared" si="5"/>
        <v>54298075</v>
      </c>
      <c r="F20" s="234">
        <f t="shared" si="5"/>
        <v>54298075</v>
      </c>
      <c r="G20" s="234">
        <f t="shared" si="5"/>
        <v>54298075</v>
      </c>
      <c r="H20" s="234">
        <f t="shared" si="5"/>
        <v>54298075</v>
      </c>
      <c r="I20" s="234">
        <f t="shared" si="5"/>
        <v>54298075</v>
      </c>
      <c r="J20" s="234">
        <f t="shared" si="5"/>
        <v>54298075</v>
      </c>
      <c r="K20" s="234">
        <f t="shared" si="5"/>
        <v>54298075</v>
      </c>
      <c r="L20" s="234">
        <f t="shared" si="5"/>
        <v>54298075</v>
      </c>
      <c r="M20" s="234">
        <f t="shared" si="5"/>
        <v>54298075</v>
      </c>
      <c r="N20" s="234">
        <f t="shared" si="5"/>
        <v>54298075</v>
      </c>
      <c r="O20" s="234">
        <f t="shared" si="5"/>
        <v>54298075</v>
      </c>
      <c r="P20" s="234">
        <f t="shared" si="5"/>
        <v>54298075</v>
      </c>
      <c r="Q20" s="234">
        <f t="shared" si="5"/>
        <v>57207601.385416664</v>
      </c>
      <c r="R20" s="234">
        <f t="shared" si="5"/>
        <v>60076993.523958333</v>
      </c>
      <c r="S20" s="234">
        <f t="shared" si="5"/>
        <v>63119270.156354174</v>
      </c>
      <c r="T20" s="234">
        <f t="shared" si="5"/>
        <v>66347157.543189585</v>
      </c>
    </row>
    <row r="21" spans="1:20" ht="15.75" customHeight="1">
      <c r="A21" s="11" t="s">
        <v>257</v>
      </c>
      <c r="B21" s="248">
        <v>-13</v>
      </c>
      <c r="C21" s="234">
        <f t="shared" ref="C21:T21" si="6">$C$38</f>
        <v>0</v>
      </c>
      <c r="D21" s="234">
        <f t="shared" si="6"/>
        <v>0</v>
      </c>
      <c r="E21" s="234">
        <f t="shared" si="6"/>
        <v>0</v>
      </c>
      <c r="F21" s="234">
        <f t="shared" si="6"/>
        <v>0</v>
      </c>
      <c r="G21" s="234">
        <f t="shared" si="6"/>
        <v>0</v>
      </c>
      <c r="H21" s="234">
        <f t="shared" si="6"/>
        <v>0</v>
      </c>
      <c r="I21" s="234">
        <f t="shared" si="6"/>
        <v>0</v>
      </c>
      <c r="J21" s="234">
        <f t="shared" si="6"/>
        <v>0</v>
      </c>
      <c r="K21" s="234">
        <f t="shared" si="6"/>
        <v>0</v>
      </c>
      <c r="L21" s="234">
        <f t="shared" si="6"/>
        <v>0</v>
      </c>
      <c r="M21" s="234">
        <f t="shared" si="6"/>
        <v>0</v>
      </c>
      <c r="N21" s="234">
        <f t="shared" si="6"/>
        <v>0</v>
      </c>
      <c r="O21" s="234">
        <f t="shared" si="6"/>
        <v>0</v>
      </c>
      <c r="P21" s="234">
        <f t="shared" si="6"/>
        <v>0</v>
      </c>
      <c r="Q21" s="234">
        <f t="shared" si="6"/>
        <v>0</v>
      </c>
      <c r="R21" s="234">
        <f t="shared" si="6"/>
        <v>0</v>
      </c>
      <c r="S21" s="234">
        <f t="shared" si="6"/>
        <v>0</v>
      </c>
      <c r="T21" s="234">
        <f t="shared" si="6"/>
        <v>0</v>
      </c>
    </row>
    <row r="22" spans="1:20" ht="15.75" customHeight="1">
      <c r="A22" s="11" t="s">
        <v>259</v>
      </c>
      <c r="B22" s="248" t="s">
        <v>345</v>
      </c>
      <c r="C22" s="234">
        <f t="shared" ref="C22:T22" si="7">C20+C21</f>
        <v>0</v>
      </c>
      <c r="D22" s="234">
        <f t="shared" si="7"/>
        <v>53636300</v>
      </c>
      <c r="E22" s="234">
        <f t="shared" si="7"/>
        <v>54298075</v>
      </c>
      <c r="F22" s="234">
        <f t="shared" si="7"/>
        <v>54298075</v>
      </c>
      <c r="G22" s="234">
        <f t="shared" si="7"/>
        <v>54298075</v>
      </c>
      <c r="H22" s="234">
        <f t="shared" si="7"/>
        <v>54298075</v>
      </c>
      <c r="I22" s="234">
        <f t="shared" si="7"/>
        <v>54298075</v>
      </c>
      <c r="J22" s="234">
        <f t="shared" si="7"/>
        <v>54298075</v>
      </c>
      <c r="K22" s="234">
        <f t="shared" si="7"/>
        <v>54298075</v>
      </c>
      <c r="L22" s="234">
        <f t="shared" si="7"/>
        <v>54298075</v>
      </c>
      <c r="M22" s="234">
        <f t="shared" si="7"/>
        <v>54298075</v>
      </c>
      <c r="N22" s="234">
        <f t="shared" si="7"/>
        <v>54298075</v>
      </c>
      <c r="O22" s="234">
        <f t="shared" si="7"/>
        <v>54298075</v>
      </c>
      <c r="P22" s="234">
        <f t="shared" si="7"/>
        <v>54298075</v>
      </c>
      <c r="Q22" s="234">
        <f t="shared" si="7"/>
        <v>57207601.385416664</v>
      </c>
      <c r="R22" s="234">
        <f t="shared" si="7"/>
        <v>60076993.523958333</v>
      </c>
      <c r="S22" s="234">
        <f t="shared" si="7"/>
        <v>63119270.156354174</v>
      </c>
      <c r="T22" s="234">
        <f t="shared" si="7"/>
        <v>66347157.543189585</v>
      </c>
    </row>
    <row r="23" spans="1:20" ht="15.75" customHeight="1">
      <c r="A23" s="188" t="s">
        <v>260</v>
      </c>
      <c r="B23" s="251"/>
      <c r="C23" s="236"/>
      <c r="D23" s="236"/>
      <c r="E23" s="236"/>
      <c r="F23" s="236"/>
      <c r="G23" s="236"/>
      <c r="H23" s="236"/>
      <c r="I23" s="236"/>
      <c r="J23" s="236"/>
      <c r="K23" s="236"/>
      <c r="L23" s="236"/>
      <c r="M23" s="236"/>
      <c r="N23" s="236"/>
      <c r="O23" s="236"/>
      <c r="P23" s="236"/>
      <c r="Q23" s="236"/>
      <c r="R23" s="236"/>
      <c r="S23" s="236"/>
      <c r="T23" s="236"/>
    </row>
    <row r="24" spans="1:20" ht="15.75" customHeight="1">
      <c r="A24" s="11" t="s">
        <v>261</v>
      </c>
      <c r="B24" s="248">
        <v>-15</v>
      </c>
      <c r="C24" s="234">
        <f>C37</f>
        <v>250000000</v>
      </c>
      <c r="D24" s="234">
        <f t="shared" ref="D24:O24" si="8">C24+D37</f>
        <v>250000000</v>
      </c>
      <c r="E24" s="234">
        <f t="shared" si="8"/>
        <v>250000000</v>
      </c>
      <c r="F24" s="234">
        <f t="shared" si="8"/>
        <v>250000000</v>
      </c>
      <c r="G24" s="234">
        <f t="shared" si="8"/>
        <v>250000000</v>
      </c>
      <c r="H24" s="234">
        <f t="shared" si="8"/>
        <v>250000000</v>
      </c>
      <c r="I24" s="234">
        <f t="shared" si="8"/>
        <v>250000000</v>
      </c>
      <c r="J24" s="234">
        <f t="shared" si="8"/>
        <v>250000000</v>
      </c>
      <c r="K24" s="234">
        <f t="shared" si="8"/>
        <v>250000000</v>
      </c>
      <c r="L24" s="234">
        <f t="shared" si="8"/>
        <v>250000000</v>
      </c>
      <c r="M24" s="234">
        <f t="shared" si="8"/>
        <v>250000000</v>
      </c>
      <c r="N24" s="234">
        <f t="shared" si="8"/>
        <v>250000000</v>
      </c>
      <c r="O24" s="234">
        <f t="shared" si="8"/>
        <v>250000000</v>
      </c>
      <c r="P24" s="234">
        <f>C24+P37</f>
        <v>250000000</v>
      </c>
      <c r="Q24" s="234">
        <f>P24+Q37</f>
        <v>350000000</v>
      </c>
      <c r="R24" s="234">
        <f>Q24+R37</f>
        <v>400000000</v>
      </c>
      <c r="S24" s="234">
        <f>R24+S37</f>
        <v>400000000</v>
      </c>
      <c r="T24" s="234">
        <f>S24+T37</f>
        <v>400000000</v>
      </c>
    </row>
    <row r="25" spans="1:20" ht="15.75" customHeight="1">
      <c r="A25" s="11" t="s">
        <v>262</v>
      </c>
      <c r="B25" s="248">
        <v>-16</v>
      </c>
      <c r="C25" s="234">
        <f>-SUM('Giả định chi phí'!Q48:Q49)</f>
        <v>-650000</v>
      </c>
      <c r="D25" s="234">
        <f>C25+'Dự toán báo cáo thu nhập'!B27</f>
        <v>-19189300</v>
      </c>
      <c r="E25" s="234">
        <f>D25+'Dự toán báo cáo thu nhập'!C27</f>
        <v>-32023150</v>
      </c>
      <c r="F25" s="234">
        <f>E25+'Dự toán báo cáo thu nhập'!D27</f>
        <v>-44857000</v>
      </c>
      <c r="G25" s="234">
        <f>F25+'Dự toán báo cáo thu nhập'!E27</f>
        <v>-57690850</v>
      </c>
      <c r="H25" s="234">
        <f>G25+'Dự toán báo cáo thu nhập'!F27</f>
        <v>-70524700</v>
      </c>
      <c r="I25" s="234">
        <f>H25+'Dự toán báo cáo thu nhập'!G27</f>
        <v>-83358550</v>
      </c>
      <c r="J25" s="234">
        <f>I25+'Dự toán báo cáo thu nhập'!H27</f>
        <v>-96192400</v>
      </c>
      <c r="K25" s="234">
        <f>J25+'Dự toán báo cáo thu nhập'!I27</f>
        <v>-109026250</v>
      </c>
      <c r="L25" s="234">
        <f>K25+'Dự toán báo cáo thu nhập'!J27</f>
        <v>-121860100</v>
      </c>
      <c r="M25" s="234">
        <f>L25+'Dự toán báo cáo thu nhập'!K27</f>
        <v>-134693950</v>
      </c>
      <c r="N25" s="234">
        <f>M25+'Dự toán báo cáo thu nhập'!L27</f>
        <v>-147527800</v>
      </c>
      <c r="O25" s="234">
        <f>N25+'Dự toán báo cáo thu nhập'!M27</f>
        <v>-160361650</v>
      </c>
      <c r="P25" s="234">
        <f>C25+'Dự toán báo cáo thu nhập'!N27</f>
        <v>-160361650</v>
      </c>
      <c r="Q25" s="234">
        <f>P25+'Dự toán báo cáo thu nhập'!O27</f>
        <v>-275468533.25000012</v>
      </c>
      <c r="R25" s="234">
        <f>Q25+'Dự toán báo cáo thu nhập'!P27</f>
        <v>-332009298.32500041</v>
      </c>
      <c r="S25" s="234">
        <f>R25+'Dự toán báo cáo thu nhập'!Q27</f>
        <v>-320313501.37087607</v>
      </c>
      <c r="T25" s="234">
        <f>S25+'Dự toán báo cáo thu nhập'!R27</f>
        <v>-237488079.13914651</v>
      </c>
    </row>
    <row r="26" spans="1:20" ht="15.75" customHeight="1">
      <c r="A26" s="11" t="s">
        <v>263</v>
      </c>
      <c r="B26" s="248" t="s">
        <v>346</v>
      </c>
      <c r="C26" s="234">
        <f t="shared" ref="C26:T26" si="9">C24+C25</f>
        <v>249350000</v>
      </c>
      <c r="D26" s="234">
        <f t="shared" si="9"/>
        <v>230810700</v>
      </c>
      <c r="E26" s="234">
        <f t="shared" si="9"/>
        <v>217976850</v>
      </c>
      <c r="F26" s="234">
        <f t="shared" si="9"/>
        <v>205143000</v>
      </c>
      <c r="G26" s="234">
        <f t="shared" si="9"/>
        <v>192309150</v>
      </c>
      <c r="H26" s="234">
        <f t="shared" si="9"/>
        <v>179475300</v>
      </c>
      <c r="I26" s="234">
        <f t="shared" si="9"/>
        <v>166641450</v>
      </c>
      <c r="J26" s="234">
        <f t="shared" si="9"/>
        <v>153807600</v>
      </c>
      <c r="K26" s="234">
        <f t="shared" si="9"/>
        <v>140973750</v>
      </c>
      <c r="L26" s="234">
        <f t="shared" si="9"/>
        <v>128139900</v>
      </c>
      <c r="M26" s="234">
        <f t="shared" si="9"/>
        <v>115306050</v>
      </c>
      <c r="N26" s="234">
        <f t="shared" si="9"/>
        <v>102472200</v>
      </c>
      <c r="O26" s="234">
        <f t="shared" si="9"/>
        <v>89638350</v>
      </c>
      <c r="P26" s="234">
        <f t="shared" si="9"/>
        <v>89638350</v>
      </c>
      <c r="Q26" s="234">
        <f t="shared" si="9"/>
        <v>74531466.749999881</v>
      </c>
      <c r="R26" s="234">
        <f t="shared" si="9"/>
        <v>67990701.674999595</v>
      </c>
      <c r="S26" s="234">
        <f t="shared" si="9"/>
        <v>79686498.629123926</v>
      </c>
      <c r="T26" s="234">
        <f t="shared" si="9"/>
        <v>162511920.86085349</v>
      </c>
    </row>
    <row r="27" spans="1:20" ht="15.75" customHeight="1">
      <c r="A27" s="188" t="s">
        <v>264</v>
      </c>
      <c r="B27" s="252" t="s">
        <v>347</v>
      </c>
      <c r="C27" s="238">
        <f t="shared" ref="C27:T27" si="10">C22+C26</f>
        <v>249350000</v>
      </c>
      <c r="D27" s="238">
        <f t="shared" si="10"/>
        <v>284447000</v>
      </c>
      <c r="E27" s="238">
        <f t="shared" si="10"/>
        <v>272274925</v>
      </c>
      <c r="F27" s="238">
        <f t="shared" si="10"/>
        <v>259441075</v>
      </c>
      <c r="G27" s="238">
        <f t="shared" si="10"/>
        <v>246607225</v>
      </c>
      <c r="H27" s="238">
        <f t="shared" si="10"/>
        <v>233773375</v>
      </c>
      <c r="I27" s="238">
        <f t="shared" si="10"/>
        <v>220939525</v>
      </c>
      <c r="J27" s="238">
        <f t="shared" si="10"/>
        <v>208105675</v>
      </c>
      <c r="K27" s="238">
        <f t="shared" si="10"/>
        <v>195271825</v>
      </c>
      <c r="L27" s="238">
        <f t="shared" si="10"/>
        <v>182437975</v>
      </c>
      <c r="M27" s="238">
        <f t="shared" si="10"/>
        <v>169604125</v>
      </c>
      <c r="N27" s="238">
        <f t="shared" si="10"/>
        <v>156770275</v>
      </c>
      <c r="O27" s="238">
        <f t="shared" si="10"/>
        <v>143936425</v>
      </c>
      <c r="P27" s="238">
        <f t="shared" si="10"/>
        <v>143936425</v>
      </c>
      <c r="Q27" s="238">
        <f t="shared" si="10"/>
        <v>131739068.13541654</v>
      </c>
      <c r="R27" s="238">
        <f t="shared" si="10"/>
        <v>128067695.19895792</v>
      </c>
      <c r="S27" s="238">
        <f t="shared" si="10"/>
        <v>142805768.78547812</v>
      </c>
      <c r="T27" s="238">
        <f t="shared" si="10"/>
        <v>228859078.40404308</v>
      </c>
    </row>
    <row r="29" spans="1:20" ht="15.75" customHeight="1">
      <c r="A29" s="244" t="s">
        <v>361</v>
      </c>
      <c r="B29" s="244"/>
      <c r="C29" s="244"/>
      <c r="D29" s="244"/>
      <c r="E29" s="244"/>
      <c r="F29" s="244"/>
      <c r="G29" s="244"/>
      <c r="H29" s="244"/>
      <c r="I29" s="244"/>
      <c r="J29" s="244"/>
      <c r="K29" s="244"/>
      <c r="L29" s="244"/>
      <c r="M29" s="244"/>
      <c r="N29" s="244"/>
      <c r="O29" s="244"/>
      <c r="P29" s="244"/>
      <c r="Q29" s="244"/>
      <c r="R29" s="244"/>
      <c r="S29" s="244"/>
      <c r="T29" s="244"/>
    </row>
    <row r="30" spans="1:20" ht="15.75" customHeight="1">
      <c r="A30" s="242" t="s">
        <v>348</v>
      </c>
      <c r="B30" s="242"/>
      <c r="C30" s="245">
        <v>5</v>
      </c>
      <c r="D30" s="247" t="s">
        <v>349</v>
      </c>
      <c r="E30" s="242"/>
      <c r="F30" s="242"/>
      <c r="G30" s="242"/>
      <c r="H30" s="242"/>
      <c r="I30" s="242"/>
      <c r="J30" s="242"/>
      <c r="K30" s="242"/>
      <c r="L30" s="242"/>
      <c r="M30" s="242"/>
      <c r="N30" s="242"/>
      <c r="O30" s="242"/>
      <c r="P30" s="242"/>
      <c r="Q30" s="242"/>
      <c r="R30" s="242"/>
      <c r="S30" s="242"/>
      <c r="T30" s="242"/>
    </row>
    <row r="31" spans="1:20" ht="15.75" customHeight="1">
      <c r="A31" s="242" t="s">
        <v>350</v>
      </c>
      <c r="B31" s="242"/>
      <c r="C31" s="245">
        <v>2</v>
      </c>
      <c r="D31" s="247" t="s">
        <v>349</v>
      </c>
      <c r="E31" s="242"/>
      <c r="F31" s="242"/>
      <c r="G31" s="242"/>
      <c r="H31" s="242"/>
      <c r="I31" s="242"/>
      <c r="J31" s="242"/>
      <c r="K31" s="242"/>
      <c r="L31" s="242"/>
      <c r="M31" s="242"/>
      <c r="N31" s="242"/>
      <c r="O31" s="242"/>
      <c r="P31" s="242"/>
      <c r="Q31" s="242"/>
      <c r="R31" s="242"/>
      <c r="S31" s="242"/>
      <c r="T31" s="242"/>
    </row>
    <row r="32" spans="1:20" ht="15.75" customHeight="1">
      <c r="A32" s="242" t="s">
        <v>351</v>
      </c>
      <c r="B32" s="242"/>
      <c r="C32" s="245">
        <v>15</v>
      </c>
      <c r="D32" s="247" t="s">
        <v>349</v>
      </c>
      <c r="E32" s="242"/>
      <c r="F32" s="242"/>
      <c r="G32" s="242"/>
      <c r="H32" s="242"/>
      <c r="I32" s="242"/>
      <c r="J32" s="242"/>
      <c r="K32" s="242"/>
      <c r="L32" s="242"/>
      <c r="M32" s="242"/>
      <c r="N32" s="242"/>
      <c r="O32" s="242"/>
      <c r="P32" s="242"/>
      <c r="Q32" s="242"/>
      <c r="R32" s="242"/>
      <c r="S32" s="242"/>
      <c r="T32" s="242"/>
    </row>
    <row r="33" spans="1:20" ht="15.75" customHeight="1">
      <c r="A33" s="242" t="s">
        <v>352</v>
      </c>
      <c r="B33" s="242"/>
      <c r="C33" s="245">
        <v>30</v>
      </c>
      <c r="D33" s="247" t="s">
        <v>353</v>
      </c>
      <c r="E33" s="242"/>
      <c r="F33" s="242"/>
      <c r="G33" s="242"/>
      <c r="H33" s="242"/>
      <c r="I33" s="242"/>
      <c r="J33" s="242"/>
      <c r="K33" s="242"/>
      <c r="L33" s="242"/>
      <c r="M33" s="242"/>
      <c r="N33" s="242"/>
      <c r="O33" s="242"/>
      <c r="P33" s="242"/>
      <c r="Q33" s="242"/>
      <c r="R33" s="242"/>
      <c r="S33" s="242"/>
      <c r="T33" s="242"/>
    </row>
    <row r="34" spans="1:20" ht="15.75" customHeight="1">
      <c r="A34" s="242" t="s">
        <v>354</v>
      </c>
      <c r="B34" s="242"/>
      <c r="C34" s="245">
        <v>7</v>
      </c>
      <c r="D34" s="247" t="s">
        <v>355</v>
      </c>
      <c r="E34" s="242"/>
      <c r="F34" s="242"/>
      <c r="G34" s="242"/>
      <c r="H34" s="242"/>
      <c r="I34" s="242"/>
      <c r="J34" s="242"/>
      <c r="K34" s="242"/>
      <c r="L34" s="242"/>
      <c r="M34" s="242"/>
      <c r="N34" s="242"/>
      <c r="O34" s="242"/>
      <c r="P34" s="242"/>
      <c r="Q34" s="242"/>
      <c r="R34" s="242"/>
      <c r="S34" s="242"/>
      <c r="T34" s="242"/>
    </row>
    <row r="35" spans="1:20" ht="15.75" customHeight="1">
      <c r="A35" s="242" t="s">
        <v>356</v>
      </c>
      <c r="B35" s="242"/>
      <c r="C35" s="245">
        <v>30</v>
      </c>
      <c r="D35" s="247" t="s">
        <v>357</v>
      </c>
      <c r="E35" s="242"/>
      <c r="F35" s="242"/>
      <c r="G35" s="242"/>
      <c r="H35" s="242"/>
      <c r="I35" s="242"/>
      <c r="J35" s="242"/>
      <c r="K35" s="242"/>
      <c r="L35" s="242"/>
      <c r="M35" s="242"/>
      <c r="N35" s="242"/>
      <c r="O35" s="242"/>
      <c r="P35" s="242"/>
      <c r="Q35" s="242"/>
      <c r="R35" s="242"/>
      <c r="S35" s="242"/>
      <c r="T35" s="242"/>
    </row>
    <row r="36" spans="1:20" ht="15.75" customHeight="1">
      <c r="A36" s="242" t="s">
        <v>358</v>
      </c>
      <c r="B36" s="242"/>
      <c r="C36" s="245">
        <v>360</v>
      </c>
      <c r="D36" s="247" t="s">
        <v>357</v>
      </c>
      <c r="E36" s="242"/>
      <c r="F36" s="242"/>
      <c r="G36" s="242"/>
      <c r="H36" s="242"/>
      <c r="I36" s="242"/>
      <c r="J36" s="242"/>
      <c r="K36" s="242"/>
      <c r="L36" s="242"/>
      <c r="M36" s="242"/>
      <c r="N36" s="242"/>
      <c r="O36" s="242"/>
      <c r="P36" s="242"/>
      <c r="Q36" s="242"/>
      <c r="R36" s="242"/>
      <c r="S36" s="242"/>
      <c r="T36" s="242"/>
    </row>
    <row r="37" spans="1:20" ht="15.75" customHeight="1">
      <c r="A37" s="242" t="s">
        <v>362</v>
      </c>
      <c r="B37" s="247" t="s">
        <v>368</v>
      </c>
      <c r="C37" s="246">
        <v>250000000</v>
      </c>
      <c r="D37" s="246">
        <v>0</v>
      </c>
      <c r="E37" s="246">
        <v>0</v>
      </c>
      <c r="F37" s="246">
        <v>0</v>
      </c>
      <c r="G37" s="246">
        <v>0</v>
      </c>
      <c r="H37" s="246">
        <v>0</v>
      </c>
      <c r="I37" s="246">
        <v>0</v>
      </c>
      <c r="J37" s="246">
        <v>0</v>
      </c>
      <c r="K37" s="246">
        <v>0</v>
      </c>
      <c r="L37" s="246">
        <v>0</v>
      </c>
      <c r="M37" s="246">
        <v>0</v>
      </c>
      <c r="N37" s="246">
        <v>0</v>
      </c>
      <c r="O37" s="246">
        <v>0</v>
      </c>
      <c r="P37" s="243">
        <f>SUM(D37:O37)</f>
        <v>0</v>
      </c>
      <c r="Q37" s="246">
        <v>100000000</v>
      </c>
      <c r="R37" s="246">
        <v>50000000</v>
      </c>
      <c r="S37" s="246">
        <v>0</v>
      </c>
      <c r="T37" s="246">
        <v>0</v>
      </c>
    </row>
    <row r="38" spans="1:20" ht="15.75" customHeight="1">
      <c r="A38" s="242" t="s">
        <v>359</v>
      </c>
      <c r="B38" s="242"/>
      <c r="C38" s="246">
        <v>0</v>
      </c>
      <c r="D38" s="247" t="s">
        <v>360</v>
      </c>
      <c r="E38" s="242"/>
      <c r="F38" s="242"/>
      <c r="G38" s="242"/>
      <c r="H38" s="242"/>
      <c r="I38" s="242"/>
      <c r="J38" s="242"/>
      <c r="K38" s="242"/>
      <c r="L38" s="242"/>
      <c r="M38" s="242"/>
      <c r="N38" s="242"/>
      <c r="O38" s="242"/>
      <c r="P38" s="242"/>
      <c r="Q38" s="242"/>
      <c r="R38" s="242"/>
      <c r="S38" s="242"/>
      <c r="T38" s="242"/>
    </row>
    <row r="39" spans="1:20" ht="15.75" customHeight="1">
      <c r="A39" s="241"/>
      <c r="B39" s="241"/>
      <c r="C39" s="241"/>
      <c r="D39" s="241"/>
      <c r="E39" s="241"/>
      <c r="F39" s="241"/>
      <c r="G39" s="241"/>
      <c r="H39" s="241"/>
      <c r="I39" s="241"/>
      <c r="J39" s="241"/>
      <c r="K39" s="241"/>
      <c r="L39" s="241"/>
      <c r="M39" s="241"/>
      <c r="N39" s="241"/>
      <c r="O39" s="241"/>
      <c r="P39" s="241"/>
      <c r="Q39" s="241"/>
      <c r="R39" s="241"/>
      <c r="S39" s="241"/>
      <c r="T39" s="241"/>
    </row>
    <row r="40" spans="1:20" ht="15.75" customHeight="1">
      <c r="A40" s="244" t="s">
        <v>363</v>
      </c>
      <c r="B40" s="244"/>
      <c r="C40" s="244"/>
      <c r="D40" s="244"/>
      <c r="E40" s="244"/>
      <c r="F40" s="244"/>
      <c r="G40" s="244"/>
      <c r="H40" s="244"/>
      <c r="I40" s="244"/>
      <c r="J40" s="244"/>
      <c r="K40" s="244"/>
      <c r="L40" s="244"/>
      <c r="M40" s="244"/>
      <c r="N40" s="244"/>
      <c r="O40" s="244"/>
      <c r="P40" s="244"/>
      <c r="Q40" s="244"/>
      <c r="R40" s="244"/>
      <c r="S40" s="244"/>
      <c r="T40" s="244"/>
    </row>
    <row r="41" spans="1:20" ht="15.75" customHeight="1">
      <c r="A41" s="242" t="s">
        <v>364</v>
      </c>
      <c r="B41" s="242"/>
      <c r="C41" s="243">
        <f t="shared" ref="C41:T41" si="11">C14-C27</f>
        <v>0</v>
      </c>
      <c r="D41" s="243">
        <f t="shared" si="11"/>
        <v>0</v>
      </c>
      <c r="E41" s="243">
        <f t="shared" si="11"/>
        <v>0</v>
      </c>
      <c r="F41" s="243">
        <f t="shared" si="11"/>
        <v>0</v>
      </c>
      <c r="G41" s="243">
        <f t="shared" si="11"/>
        <v>0</v>
      </c>
      <c r="H41" s="243">
        <f t="shared" si="11"/>
        <v>0</v>
      </c>
      <c r="I41" s="243">
        <f t="shared" si="11"/>
        <v>0</v>
      </c>
      <c r="J41" s="243">
        <f t="shared" si="11"/>
        <v>0</v>
      </c>
      <c r="K41" s="243">
        <f t="shared" si="11"/>
        <v>0</v>
      </c>
      <c r="L41" s="243">
        <f t="shared" si="11"/>
        <v>0</v>
      </c>
      <c r="M41" s="243">
        <f t="shared" si="11"/>
        <v>0</v>
      </c>
      <c r="N41" s="243">
        <f t="shared" si="11"/>
        <v>0</v>
      </c>
      <c r="O41" s="243">
        <f t="shared" si="11"/>
        <v>0</v>
      </c>
      <c r="P41" s="243">
        <f t="shared" si="11"/>
        <v>0</v>
      </c>
      <c r="Q41" s="243">
        <f t="shared" si="11"/>
        <v>0</v>
      </c>
      <c r="R41" s="243">
        <f t="shared" si="11"/>
        <v>0</v>
      </c>
      <c r="S41" s="243">
        <f t="shared" si="11"/>
        <v>0</v>
      </c>
      <c r="T41" s="243">
        <f t="shared" si="11"/>
        <v>0</v>
      </c>
    </row>
    <row r="42" spans="1:20" ht="15.75" customHeight="1">
      <c r="A42" s="242" t="s">
        <v>365</v>
      </c>
      <c r="B42" s="242"/>
      <c r="C42" s="243">
        <f>C37-C11+C25</f>
        <v>158168000</v>
      </c>
      <c r="D42" s="243">
        <f>C42+'Dự toán báo cáo thu nhập'!B27+'Dự toán báo cáo thu nhập'!B18-(D7-C7)-(D8-C8)+(D18-C18)+(D19-C19)+D37-(D11-C11)</f>
        <v>188268033.33333334</v>
      </c>
      <c r="E42" s="243">
        <f>D42+'Dự toán báo cáo thu nhập'!C27+'Dự toán báo cáo thu nhập'!C18-(E7-D7)-(E8-D8)+(E18-D18)+(E19-D19)+E37-(E11-D11)</f>
        <v>176928158.33333334</v>
      </c>
      <c r="F42" s="243">
        <f>E42+'Dự toán báo cáo thu nhập'!D27+'Dự toán báo cáo thu nhập'!D18-(F7-E7)-(F8-E8)+(F18-E18)+(F19-E19)+F37-(F11-E11)</f>
        <v>165614008.33333334</v>
      </c>
      <c r="G42" s="243">
        <f>F42+'Dự toán báo cáo thu nhập'!E27+'Dự toán báo cáo thu nhập'!E18-(G7-F7)-(G8-F8)+(G18-F18)+(G19-F19)+G37-(G11-F11)</f>
        <v>154299858.33333334</v>
      </c>
      <c r="H42" s="243">
        <f>G42+'Dự toán báo cáo thu nhập'!F27+'Dự toán báo cáo thu nhập'!F18-(H7-G7)-(H8-G8)+(H18-G18)+(H19-G19)+H37-(H11-G11)</f>
        <v>142985708.33333334</v>
      </c>
      <c r="I42" s="243">
        <f>H42+'Dự toán báo cáo thu nhập'!G27+'Dự toán báo cáo thu nhập'!G18-(I7-H7)-(I8-H8)+(I18-H18)+(I19-H19)+I37-(I11-H11)</f>
        <v>131671558.33333334</v>
      </c>
      <c r="J42" s="243">
        <f>I42+'Dự toán báo cáo thu nhập'!H27+'Dự toán báo cáo thu nhập'!H18-(J7-I7)-(J8-I8)+(J18-I18)+(J19-I19)+J37-(J11-I11)</f>
        <v>120357408.33333334</v>
      </c>
      <c r="K42" s="243">
        <f>J42+'Dự toán báo cáo thu nhập'!I27+'Dự toán báo cáo thu nhập'!I18-(K7-J7)-(K8-J8)+(K18-J18)+(K19-J19)+K37-(K11-J11)</f>
        <v>109043258.33333334</v>
      </c>
      <c r="L42" s="243">
        <f>K42+'Dự toán báo cáo thu nhập'!J27+'Dự toán báo cáo thu nhập'!J18-(L7-K7)-(L8-K8)+(L18-K18)+(L19-K19)+L37-(L11-K11)</f>
        <v>97729108.333333343</v>
      </c>
      <c r="M42" s="243">
        <f>L42+'Dự toán báo cáo thu nhập'!K27+'Dự toán báo cáo thu nhập'!K18-(M7-L7)-(M8-L8)+(M18-L18)+(M19-L19)+M37-(M11-L11)</f>
        <v>86414958.333333343</v>
      </c>
      <c r="N42" s="243">
        <f>M42+'Dự toán báo cáo thu nhập'!L27+'Dự toán báo cáo thu nhập'!L18-(N7-M7)-(N8-M8)+(N18-M18)+(N19-M19)+N37-(N11-M11)</f>
        <v>75100808.333333343</v>
      </c>
      <c r="O42" s="243">
        <f>N42+'Dự toán báo cáo thu nhập'!M27+'Dự toán báo cáo thu nhập'!M18-(O7-N7)-(O8-N8)+(O18-N18)+(O19-N19)+O37-(O11-N11)</f>
        <v>63786658.333333343</v>
      </c>
      <c r="P42" s="243">
        <f>C42+'Dự toán báo cáo thu nhập'!N27+'Dự toán báo cáo thu nhập'!N18-(P7-C7)-(P8-C8)+(P18-C18)+(P19-C19)+P37-(P11-C11)</f>
        <v>63786658.333333328</v>
      </c>
      <c r="Q42" s="243">
        <f>P42+'Dự toán báo cáo thu nhập'!O27+'Dự toán báo cáo thu nhập'!O18-(Q7-P7)-(Q8-P8)+(Q18-P18)+(Q19-P19)+Q37-(Q11-P11)</f>
        <v>68933044.871527642</v>
      </c>
      <c r="R42" s="243">
        <f>Q42+'Dự toán báo cáo thu nhập'!P27+'Dự toán báo cáo thu nhập'!P18-(R7-Q7)-(R8-Q8)+(R18-Q18)+(R19-Q19)+R37-(R11-Q11)</f>
        <v>82539512.108680129</v>
      </c>
      <c r="S42" s="243">
        <f>R42+'Dự toán báo cáo thu nhập'!Q27+'Dự toán báo cáo thu nhập'!Q18-(S7-R7)-(S8-R8)+(S18-R18)+(S19-R19)+S37-(S11-R11)</f>
        <v>114440215.81117254</v>
      </c>
      <c r="T42" s="243">
        <f>S42+'Dự toán báo cáo thu nhập'!R27+'Dự toán báo cáo thu nhập'!R18-(T7-S7)-(T8-S8)+(T18-S18)+(T19-S19)+T37-(T11-S11)</f>
        <v>217526908.45255697</v>
      </c>
    </row>
    <row r="43" spans="1:20" ht="15.75" customHeight="1">
      <c r="A43" s="242" t="s">
        <v>366</v>
      </c>
      <c r="B43" s="242"/>
      <c r="C43" s="243">
        <f t="shared" ref="C43:T43" si="12">ROUND(C42-(C5+C6),0)</f>
        <v>0</v>
      </c>
      <c r="D43" s="243">
        <f t="shared" si="12"/>
        <v>0</v>
      </c>
      <c r="E43" s="243">
        <f t="shared" si="12"/>
        <v>0</v>
      </c>
      <c r="F43" s="243">
        <f t="shared" si="12"/>
        <v>0</v>
      </c>
      <c r="G43" s="243">
        <f t="shared" si="12"/>
        <v>0</v>
      </c>
      <c r="H43" s="243">
        <f t="shared" si="12"/>
        <v>0</v>
      </c>
      <c r="I43" s="243">
        <f t="shared" si="12"/>
        <v>0</v>
      </c>
      <c r="J43" s="243">
        <f t="shared" si="12"/>
        <v>0</v>
      </c>
      <c r="K43" s="243">
        <f t="shared" si="12"/>
        <v>0</v>
      </c>
      <c r="L43" s="243">
        <f t="shared" si="12"/>
        <v>0</v>
      </c>
      <c r="M43" s="243">
        <f t="shared" si="12"/>
        <v>0</v>
      </c>
      <c r="N43" s="243">
        <f t="shared" si="12"/>
        <v>0</v>
      </c>
      <c r="O43" s="243">
        <f t="shared" si="12"/>
        <v>0</v>
      </c>
      <c r="P43" s="243">
        <f t="shared" si="12"/>
        <v>0</v>
      </c>
      <c r="Q43" s="243">
        <f t="shared" si="12"/>
        <v>0</v>
      </c>
      <c r="R43" s="243">
        <f t="shared" si="12"/>
        <v>0</v>
      </c>
      <c r="S43" s="243">
        <f t="shared" si="12"/>
        <v>0</v>
      </c>
      <c r="T43" s="243">
        <f t="shared" si="12"/>
        <v>0</v>
      </c>
    </row>
    <row r="44" spans="1:20" ht="15.75" customHeight="1">
      <c r="A44" s="242" t="s">
        <v>367</v>
      </c>
      <c r="B44" s="242"/>
      <c r="C44" s="242" t="str">
        <f>IF(C6&lt;0,"Thiếu tiền","OK")</f>
        <v>OK</v>
      </c>
      <c r="D44" s="242" t="str">
        <f>IF(D6&lt;0,"Thiếu tiền","OK")</f>
        <v>OK</v>
      </c>
      <c r="E44" s="242" t="str">
        <f>IF(E6&lt;0,"Thiếu tiền","OK")</f>
        <v>OK</v>
      </c>
      <c r="F44" s="242" t="str">
        <f>IF(F6&lt;0,"Thiếu tiền","OK")</f>
        <v>OK</v>
      </c>
      <c r="G44" s="242" t="str">
        <f>IF(G6&lt;0,"Thiếu tiền","OK")</f>
        <v>OK</v>
      </c>
      <c r="H44" s="242" t="str">
        <f>IF(H6&lt;0,"Thiếu tiền","OK")</f>
        <v>OK</v>
      </c>
      <c r="I44" s="242" t="str">
        <f>IF(I6&lt;0,"Thiếu tiền","OK")</f>
        <v>OK</v>
      </c>
      <c r="J44" s="242" t="str">
        <f>IF(J6&lt;0,"Thiếu tiền","OK")</f>
        <v>OK</v>
      </c>
      <c r="K44" s="242" t="str">
        <f>IF(K6&lt;0,"Thiếu tiền","OK")</f>
        <v>OK</v>
      </c>
      <c r="L44" s="242" t="str">
        <f>IF(L6&lt;0,"Thiếu tiền","OK")</f>
        <v>OK</v>
      </c>
      <c r="M44" s="242" t="str">
        <f>IF(M6&lt;0,"Thiếu tiền","OK")</f>
        <v>OK</v>
      </c>
      <c r="N44" s="242" t="str">
        <f>IF(N6&lt;0,"Thiếu tiền","OK")</f>
        <v>OK</v>
      </c>
      <c r="O44" s="242" t="str">
        <f>IF(O6&lt;0,"Thiếu tiền","OK")</f>
        <v>OK</v>
      </c>
      <c r="P44" s="242" t="str">
        <f>IF(P6&lt;0,"Thiếu tiền","OK")</f>
        <v>OK</v>
      </c>
      <c r="Q44" s="242" t="str">
        <f>IF(Q6&lt;0,"Thiếu tiền","OK")</f>
        <v>OK</v>
      </c>
      <c r="R44" s="242" t="str">
        <f>IF(R6&lt;0,"Thiếu tiền","OK")</f>
        <v>OK</v>
      </c>
      <c r="S44" s="242" t="str">
        <f>IF(S6&lt;0,"Thiếu tiền","OK")</f>
        <v>OK</v>
      </c>
      <c r="T44" s="242" t="str">
        <f>IF(T6&lt;0,"Thiếu tiền","OK")</f>
        <v>OK</v>
      </c>
    </row>
    <row r="67" spans="21:21" ht="13.2">
      <c r="U67" s="195"/>
    </row>
  </sheetData>
  <mergeCells count="2">
    <mergeCell ref="A1:T1"/>
    <mergeCell ref="A2:B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25"/>
  <sheetViews>
    <sheetView workbookViewId="0"/>
  </sheetViews>
  <sheetFormatPr defaultColWidth="12.6640625" defaultRowHeight="15.75" customHeight="1"/>
  <cols>
    <col min="1" max="1" width="45.88671875" customWidth="1"/>
    <col min="2" max="2" width="20.6640625" customWidth="1"/>
    <col min="3" max="20" width="19.77734375" customWidth="1"/>
  </cols>
  <sheetData>
    <row r="1" spans="1:20" ht="15.75" customHeight="1">
      <c r="A1" s="275" t="s">
        <v>269</v>
      </c>
      <c r="B1" s="273"/>
      <c r="C1" s="273"/>
      <c r="D1" s="273"/>
      <c r="E1" s="273"/>
      <c r="F1" s="273"/>
      <c r="G1" s="273"/>
      <c r="H1" s="273"/>
      <c r="I1" s="273"/>
      <c r="J1" s="273"/>
      <c r="K1" s="273"/>
      <c r="L1" s="273"/>
      <c r="M1" s="273"/>
      <c r="N1" s="273"/>
      <c r="O1" s="273"/>
      <c r="P1" s="273"/>
      <c r="Q1" s="273"/>
      <c r="R1" s="273"/>
      <c r="S1" s="273"/>
      <c r="T1" s="259"/>
    </row>
    <row r="2" spans="1:20" ht="15.75" customHeight="1">
      <c r="A2" s="8" t="s">
        <v>8</v>
      </c>
      <c r="B2" s="8" t="s">
        <v>271</v>
      </c>
      <c r="C2" s="8" t="s">
        <v>87</v>
      </c>
      <c r="D2" s="8" t="s">
        <v>104</v>
      </c>
      <c r="E2" s="8" t="s">
        <v>105</v>
      </c>
      <c r="F2" s="8" t="s">
        <v>106</v>
      </c>
      <c r="G2" s="8" t="s">
        <v>107</v>
      </c>
      <c r="H2" s="8" t="s">
        <v>108</v>
      </c>
      <c r="I2" s="8" t="s">
        <v>109</v>
      </c>
      <c r="J2" s="8" t="s">
        <v>110</v>
      </c>
      <c r="K2" s="8" t="s">
        <v>111</v>
      </c>
      <c r="L2" s="8" t="s">
        <v>112</v>
      </c>
      <c r="M2" s="8" t="s">
        <v>113</v>
      </c>
      <c r="N2" s="8" t="s">
        <v>114</v>
      </c>
      <c r="O2" s="8" t="s">
        <v>115</v>
      </c>
      <c r="P2" s="8" t="s">
        <v>116</v>
      </c>
      <c r="Q2" s="8" t="s">
        <v>141</v>
      </c>
      <c r="R2" s="8" t="s">
        <v>143</v>
      </c>
      <c r="S2" s="8" t="s">
        <v>144</v>
      </c>
      <c r="T2" s="8" t="s">
        <v>145</v>
      </c>
    </row>
    <row r="3" spans="1:20" ht="15.75" customHeight="1">
      <c r="A3" s="65" t="s">
        <v>275</v>
      </c>
      <c r="B3" s="201"/>
      <c r="C3" s="201"/>
      <c r="D3" s="201"/>
      <c r="E3" s="201"/>
      <c r="F3" s="201"/>
      <c r="G3" s="201"/>
      <c r="H3" s="201"/>
      <c r="I3" s="201"/>
      <c r="J3" s="201"/>
      <c r="K3" s="201"/>
      <c r="L3" s="201"/>
      <c r="M3" s="201"/>
      <c r="N3" s="201"/>
      <c r="O3" s="201"/>
      <c r="P3" s="202"/>
      <c r="Q3" s="202"/>
      <c r="R3" s="202"/>
      <c r="S3" s="202"/>
      <c r="T3" s="202"/>
    </row>
    <row r="4" spans="1:20" ht="15.75" customHeight="1">
      <c r="A4" s="204" t="s">
        <v>277</v>
      </c>
      <c r="B4" s="205">
        <v>1</v>
      </c>
      <c r="C4" s="302">
        <f>'Dự toán BCĐKT'!C25</f>
        <v>-650000</v>
      </c>
      <c r="D4" s="234">
        <f>'Dự toán báo cáo thu nhập'!B27</f>
        <v>-18539300</v>
      </c>
      <c r="E4" s="302">
        <f>'Dự toán báo cáo thu nhập'!C27</f>
        <v>-12833850</v>
      </c>
      <c r="F4" s="302">
        <f>'Dự toán báo cáo thu nhập'!D27</f>
        <v>-12833850</v>
      </c>
      <c r="G4" s="302">
        <f>'Dự toán báo cáo thu nhập'!E27</f>
        <v>-12833850</v>
      </c>
      <c r="H4" s="302">
        <f>'Dự toán báo cáo thu nhập'!F27</f>
        <v>-12833850</v>
      </c>
      <c r="I4" s="302">
        <f>'Dự toán báo cáo thu nhập'!G27</f>
        <v>-12833850</v>
      </c>
      <c r="J4" s="302">
        <f>'Dự toán báo cáo thu nhập'!H27</f>
        <v>-12833850</v>
      </c>
      <c r="K4" s="302">
        <f>'Dự toán báo cáo thu nhập'!I27</f>
        <v>-12833850</v>
      </c>
      <c r="L4" s="302">
        <f>'Dự toán báo cáo thu nhập'!J27</f>
        <v>-12833850</v>
      </c>
      <c r="M4" s="302">
        <f>'Dự toán báo cáo thu nhập'!K27</f>
        <v>-12833850</v>
      </c>
      <c r="N4" s="302">
        <f>'Dự toán báo cáo thu nhập'!L27</f>
        <v>-12833850</v>
      </c>
      <c r="O4" s="302">
        <f>'Dự toán báo cáo thu nhập'!M27</f>
        <v>-12833850</v>
      </c>
      <c r="P4" s="302">
        <f>'Dự toán báo cáo thu nhập'!N27</f>
        <v>-159711650</v>
      </c>
      <c r="Q4" s="302">
        <f>'Dự toán báo cáo thu nhập'!O27</f>
        <v>-115106883.25000012</v>
      </c>
      <c r="R4" s="302">
        <f>'Dự toán báo cáo thu nhập'!P27</f>
        <v>-56540765.075000286</v>
      </c>
      <c r="S4" s="302">
        <f>'Dự toán báo cáo thu nhập'!Q27</f>
        <v>11695796.954124343</v>
      </c>
      <c r="T4" s="302">
        <f>'Dự toán báo cáo thu nhập'!R27</f>
        <v>82825422.231729552</v>
      </c>
    </row>
    <row r="5" spans="1:20" ht="15.75" customHeight="1">
      <c r="A5" s="204" t="s">
        <v>297</v>
      </c>
      <c r="B5" s="205">
        <v>2</v>
      </c>
      <c r="C5" s="302">
        <v>0</v>
      </c>
      <c r="D5" s="302">
        <f>'Dự toán báo cáo thu nhập'!B18</f>
        <v>1519700</v>
      </c>
      <c r="E5" s="302">
        <f>'Dự toán báo cáo thu nhập'!C18</f>
        <v>1519700</v>
      </c>
      <c r="F5" s="302">
        <f>'Dự toán báo cáo thu nhập'!D18</f>
        <v>1519700</v>
      </c>
      <c r="G5" s="302">
        <f>'Dự toán báo cáo thu nhập'!E18</f>
        <v>1519700</v>
      </c>
      <c r="H5" s="302">
        <f>'Dự toán báo cáo thu nhập'!F18</f>
        <v>1519700</v>
      </c>
      <c r="I5" s="302">
        <f>'Dự toán báo cáo thu nhập'!G18</f>
        <v>1519700</v>
      </c>
      <c r="J5" s="302">
        <f>'Dự toán báo cáo thu nhập'!H18</f>
        <v>1519700</v>
      </c>
      <c r="K5" s="302">
        <f>'Dự toán báo cáo thu nhập'!I18</f>
        <v>1519700</v>
      </c>
      <c r="L5" s="302">
        <f>'Dự toán báo cáo thu nhập'!J18</f>
        <v>1519700</v>
      </c>
      <c r="M5" s="302">
        <f>'Dự toán báo cáo thu nhập'!K18</f>
        <v>1519700</v>
      </c>
      <c r="N5" s="302">
        <f>'Dự toán báo cáo thu nhập'!L18</f>
        <v>1519700</v>
      </c>
      <c r="O5" s="302">
        <f>'Dự toán báo cáo thu nhập'!M18</f>
        <v>1519700</v>
      </c>
      <c r="P5" s="302">
        <f>'Dự toán báo cáo thu nhập'!N18</f>
        <v>18236400</v>
      </c>
      <c r="Q5" s="302">
        <f>'Dự toán báo cáo thu nhập'!O18</f>
        <v>18236400</v>
      </c>
      <c r="R5" s="302">
        <f>'Dự toán báo cáo thu nhập'!P18</f>
        <v>18236400</v>
      </c>
      <c r="S5" s="302">
        <f>'Dự toán báo cáo thu nhập'!Q18</f>
        <v>18236400</v>
      </c>
      <c r="T5" s="302">
        <f>'Dự toán báo cáo thu nhập'!R18</f>
        <v>18236400</v>
      </c>
    </row>
    <row r="6" spans="1:20" ht="15.75" customHeight="1">
      <c r="A6" s="11" t="s">
        <v>298</v>
      </c>
      <c r="B6" s="205">
        <v>3</v>
      </c>
      <c r="C6" s="302">
        <f>-'Dự toán BCĐKT'!C7</f>
        <v>0</v>
      </c>
      <c r="D6" s="302">
        <f>-('Dự toán BCĐKT'!D7-'Dự toán BCĐKT'!C7)</f>
        <v>-3946666.6666666665</v>
      </c>
      <c r="E6" s="302">
        <f>-('Dự toán BCĐKT'!E7-'Dự toán BCĐKT'!D7)</f>
        <v>-473333.33333333349</v>
      </c>
      <c r="F6" s="302">
        <f>-('Dự toán BCĐKT'!F7-'Dự toán BCĐKT'!E7)</f>
        <v>0</v>
      </c>
      <c r="G6" s="302">
        <f>-('Dự toán BCĐKT'!G7-'Dự toán BCĐKT'!F7)</f>
        <v>0</v>
      </c>
      <c r="H6" s="302">
        <f>-('Dự toán BCĐKT'!H7-'Dự toán BCĐKT'!G7)</f>
        <v>0</v>
      </c>
      <c r="I6" s="302">
        <f>-('Dự toán BCĐKT'!I7-'Dự toán BCĐKT'!H7)</f>
        <v>0</v>
      </c>
      <c r="J6" s="302">
        <f>-('Dự toán BCĐKT'!J7-'Dự toán BCĐKT'!I7)</f>
        <v>0</v>
      </c>
      <c r="K6" s="302">
        <f>-('Dự toán BCĐKT'!K7-'Dự toán BCĐKT'!J7)</f>
        <v>0</v>
      </c>
      <c r="L6" s="302">
        <f>-('Dự toán BCĐKT'!L7-'Dự toán BCĐKT'!K7)</f>
        <v>0</v>
      </c>
      <c r="M6" s="302">
        <f>-('Dự toán BCĐKT'!M7-'Dự toán BCĐKT'!L7)</f>
        <v>0</v>
      </c>
      <c r="N6" s="302">
        <f>-('Dự toán BCĐKT'!N7-'Dự toán BCĐKT'!M7)</f>
        <v>0</v>
      </c>
      <c r="O6" s="302">
        <f>-('Dự toán BCĐKT'!O7-'Dự toán BCĐKT'!N7)</f>
        <v>0</v>
      </c>
      <c r="P6" s="302">
        <f>-('Dự toán BCĐKT'!P7-'Dự toán BCĐKT'!C7)</f>
        <v>-4420000</v>
      </c>
      <c r="Q6" s="302">
        <f>-('Dự toán BCĐKT'!Q7-'Dự toán BCĐKT'!P7)</f>
        <v>-542583.33333333302</v>
      </c>
      <c r="R6" s="302">
        <f>-('Dự toán BCĐKT'!R7-'Dự toán BCĐKT'!Q7)</f>
        <v>-645135.83333333209</v>
      </c>
      <c r="S6" s="302">
        <f>-('Dự toán BCĐKT'!S7-'Dự toán BCĐKT'!R7)</f>
        <v>-729003.4916666653</v>
      </c>
      <c r="T6" s="302">
        <f>-('Dự toán BCĐKT'!T7-'Dự toán BCĐKT'!S7)</f>
        <v>-823773.94558333326</v>
      </c>
    </row>
    <row r="7" spans="1:20" ht="15.75" customHeight="1">
      <c r="A7" s="11" t="s">
        <v>299</v>
      </c>
      <c r="B7" s="205">
        <v>4</v>
      </c>
      <c r="C7" s="302">
        <f>-'Dự toán BCĐKT'!C8</f>
        <v>0</v>
      </c>
      <c r="D7" s="302">
        <f>-('Dự toán BCĐKT'!D8-'Dự toán BCĐKT'!C8)</f>
        <v>-2570000</v>
      </c>
      <c r="E7" s="302">
        <f>-('Dự toán BCĐKT'!E8-'Dự toán BCĐKT'!D8)</f>
        <v>-214166.66666666698</v>
      </c>
      <c r="F7" s="302">
        <f>-('Dự toán BCĐKT'!F8-'Dự toán BCĐKT'!E8)</f>
        <v>0</v>
      </c>
      <c r="G7" s="302">
        <f>-('Dự toán BCĐKT'!G8-'Dự toán BCĐKT'!F8)</f>
        <v>0</v>
      </c>
      <c r="H7" s="302">
        <f>-('Dự toán BCĐKT'!H8-'Dự toán BCĐKT'!G8)</f>
        <v>0</v>
      </c>
      <c r="I7" s="302">
        <f>-('Dự toán BCĐKT'!I8-'Dự toán BCĐKT'!H8)</f>
        <v>0</v>
      </c>
      <c r="J7" s="302">
        <f>-('Dự toán BCĐKT'!J8-'Dự toán BCĐKT'!I8)</f>
        <v>0</v>
      </c>
      <c r="K7" s="302">
        <f>-('Dự toán BCĐKT'!K8-'Dự toán BCĐKT'!J8)</f>
        <v>0</v>
      </c>
      <c r="L7" s="302">
        <f>-('Dự toán BCĐKT'!L8-'Dự toán BCĐKT'!K8)</f>
        <v>0</v>
      </c>
      <c r="M7" s="302">
        <f>-('Dự toán BCĐKT'!M8-'Dự toán BCĐKT'!L8)</f>
        <v>0</v>
      </c>
      <c r="N7" s="302">
        <f>-('Dự toán BCĐKT'!N8-'Dự toán BCĐKT'!M8)</f>
        <v>0</v>
      </c>
      <c r="O7" s="302">
        <f>-('Dự toán BCĐKT'!O8-'Dự toán BCĐKT'!N8)</f>
        <v>0</v>
      </c>
      <c r="P7" s="302">
        <f>-('Dự toán BCĐKT'!P8-'Dự toán BCĐKT'!C8)</f>
        <v>-2784166.666666667</v>
      </c>
      <c r="Q7" s="302">
        <f>-('Dự toán BCĐKT'!Q8-'Dự toán BCĐKT'!P8)</f>
        <v>-350073.26388888853</v>
      </c>
      <c r="R7" s="302">
        <f>-('Dự toán BCĐKT'!R8-'Dự toán BCĐKT'!Q8)</f>
        <v>-313423.9930555555</v>
      </c>
      <c r="S7" s="302">
        <f>-('Dự toán BCĐKT'!S8-'Dự toán BCĐKT'!R8)</f>
        <v>-344766.39236111101</v>
      </c>
      <c r="T7" s="302">
        <f>-('Dự toán BCĐKT'!T8-'Dự toán BCĐKT'!S8)</f>
        <v>-379243.03159722313</v>
      </c>
    </row>
    <row r="8" spans="1:20" ht="15.75" customHeight="1">
      <c r="A8" s="11" t="s">
        <v>300</v>
      </c>
      <c r="B8" s="205">
        <v>5</v>
      </c>
      <c r="C8" s="302">
        <f>'Dự toán BCĐKT'!C18</f>
        <v>0</v>
      </c>
      <c r="D8" s="302">
        <f>('Dự toán BCĐKT'!D18-'Dự toán BCĐKT'!C18)</f>
        <v>7941300</v>
      </c>
      <c r="E8" s="302">
        <f>('Dự toán BCĐKT'!E18-'Dự toán BCĐKT'!D18)</f>
        <v>661775</v>
      </c>
      <c r="F8" s="302">
        <f>('Dự toán BCĐKT'!F18-'Dự toán BCĐKT'!E18)</f>
        <v>0</v>
      </c>
      <c r="G8" s="302">
        <f>('Dự toán BCĐKT'!G18-'Dự toán BCĐKT'!F18)</f>
        <v>0</v>
      </c>
      <c r="H8" s="302">
        <f>('Dự toán BCĐKT'!H18-'Dự toán BCĐKT'!G18)</f>
        <v>0</v>
      </c>
      <c r="I8" s="302">
        <f>('Dự toán BCĐKT'!I18-'Dự toán BCĐKT'!H18)</f>
        <v>0</v>
      </c>
      <c r="J8" s="302">
        <f>('Dự toán BCĐKT'!J18-'Dự toán BCĐKT'!I18)</f>
        <v>0</v>
      </c>
      <c r="K8" s="302">
        <f>('Dự toán BCĐKT'!K18-'Dự toán BCĐKT'!J18)</f>
        <v>0</v>
      </c>
      <c r="L8" s="302">
        <f>('Dự toán BCĐKT'!L18-'Dự toán BCĐKT'!K18)</f>
        <v>0</v>
      </c>
      <c r="M8" s="302">
        <f>('Dự toán BCĐKT'!M18-'Dự toán BCĐKT'!L18)</f>
        <v>0</v>
      </c>
      <c r="N8" s="302">
        <f>('Dự toán BCĐKT'!N18-'Dự toán BCĐKT'!M18)</f>
        <v>0</v>
      </c>
      <c r="O8" s="302">
        <f>('Dự toán BCĐKT'!O18-'Dự toán BCĐKT'!N18)</f>
        <v>0</v>
      </c>
      <c r="P8" s="302">
        <f>('Dự toán BCĐKT'!P18-'Dự toán BCĐKT'!C18)</f>
        <v>8603075</v>
      </c>
      <c r="Q8" s="302">
        <f>('Dự toán BCĐKT'!Q18-'Dự toán BCĐKT'!P18)</f>
        <v>1081726.385416666</v>
      </c>
      <c r="R8" s="302">
        <f>('Dự toán BCĐKT'!R18-'Dự toán BCĐKT'!Q18)</f>
        <v>968480.13854166679</v>
      </c>
      <c r="S8" s="302">
        <f>('Dự toán BCĐKT'!S18-'Dự toán BCĐKT'!R18)</f>
        <v>1065328.1523958333</v>
      </c>
      <c r="T8" s="302">
        <f>('Dự toán BCĐKT'!T18-'Dự toán BCĐKT'!S18)</f>
        <v>1171860.9676354192</v>
      </c>
    </row>
    <row r="9" spans="1:20" ht="15.75" customHeight="1">
      <c r="A9" s="11" t="s">
        <v>301</v>
      </c>
      <c r="B9" s="205">
        <v>6</v>
      </c>
      <c r="C9" s="302">
        <f>'Dự toán BCĐKT'!C19</f>
        <v>0</v>
      </c>
      <c r="D9" s="302">
        <f>('Dự toán BCĐKT'!D19-'Dự toán BCĐKT'!C19)</f>
        <v>45695000</v>
      </c>
      <c r="E9" s="302">
        <f>('Dự toán BCĐKT'!E19-'Dự toán BCĐKT'!D19)</f>
        <v>0</v>
      </c>
      <c r="F9" s="302">
        <f>('Dự toán BCĐKT'!F19-'Dự toán BCĐKT'!E19)</f>
        <v>0</v>
      </c>
      <c r="G9" s="302">
        <f>('Dự toán BCĐKT'!G19-'Dự toán BCĐKT'!F19)</f>
        <v>0</v>
      </c>
      <c r="H9" s="302">
        <f>('Dự toán BCĐKT'!H19-'Dự toán BCĐKT'!G19)</f>
        <v>0</v>
      </c>
      <c r="I9" s="302">
        <f>('Dự toán BCĐKT'!I19-'Dự toán BCĐKT'!H19)</f>
        <v>0</v>
      </c>
      <c r="J9" s="302">
        <f>('Dự toán BCĐKT'!J19-'Dự toán BCĐKT'!I19)</f>
        <v>0</v>
      </c>
      <c r="K9" s="302">
        <f>('Dự toán BCĐKT'!K19-'Dự toán BCĐKT'!J19)</f>
        <v>0</v>
      </c>
      <c r="L9" s="302">
        <f>('Dự toán BCĐKT'!L19-'Dự toán BCĐKT'!K19)</f>
        <v>0</v>
      </c>
      <c r="M9" s="302">
        <f>('Dự toán BCĐKT'!M19-'Dự toán BCĐKT'!L19)</f>
        <v>0</v>
      </c>
      <c r="N9" s="302">
        <f>('Dự toán BCĐKT'!N19-'Dự toán BCĐKT'!M19)</f>
        <v>0</v>
      </c>
      <c r="O9" s="302">
        <f>('Dự toán BCĐKT'!O19-'Dự toán BCĐKT'!N19)</f>
        <v>0</v>
      </c>
      <c r="P9" s="302">
        <f>('Dự toán BCĐKT'!P19-'Dự toán BCĐKT'!C19)</f>
        <v>45695000</v>
      </c>
      <c r="Q9" s="302">
        <f>('Dự toán BCĐKT'!Q19-'Dự toán BCĐKT'!P19)</f>
        <v>1827800</v>
      </c>
      <c r="R9" s="302">
        <f>('Dự toán BCĐKT'!R19-'Dự toán BCĐKT'!Q19)</f>
        <v>1900912</v>
      </c>
      <c r="S9" s="302">
        <f>('Dự toán BCĐKT'!S19-'Dự toán BCĐKT'!R19)</f>
        <v>1976948.4800000042</v>
      </c>
      <c r="T9" s="302">
        <f>('Dự toán BCĐKT'!T19-'Dự toán BCĐKT'!S19)</f>
        <v>2056026.4191999957</v>
      </c>
    </row>
    <row r="10" spans="1:20" ht="15.75" customHeight="1">
      <c r="A10" s="218" t="s">
        <v>302</v>
      </c>
      <c r="B10" s="219" t="s">
        <v>303</v>
      </c>
      <c r="C10" s="303">
        <f>SUM(C4:C9)</f>
        <v>-650000</v>
      </c>
      <c r="D10" s="303">
        <f>SUM(D4:D9)</f>
        <v>30100033.333333332</v>
      </c>
      <c r="E10" s="303">
        <f>SUM(E4:E9)</f>
        <v>-11339875</v>
      </c>
      <c r="F10" s="303">
        <f>SUM(F4:F9)</f>
        <v>-11314150</v>
      </c>
      <c r="G10" s="303">
        <f>SUM(G4:G9)</f>
        <v>-11314150</v>
      </c>
      <c r="H10" s="303">
        <f>SUM(H4:H9)</f>
        <v>-11314150</v>
      </c>
      <c r="I10" s="303">
        <f>SUM(I4:I9)</f>
        <v>-11314150</v>
      </c>
      <c r="J10" s="303">
        <f>SUM(J4:J9)</f>
        <v>-11314150</v>
      </c>
      <c r="K10" s="303">
        <f>SUM(K4:K9)</f>
        <v>-11314150</v>
      </c>
      <c r="L10" s="303">
        <f>SUM(L4:L9)</f>
        <v>-11314150</v>
      </c>
      <c r="M10" s="303">
        <f>SUM(M4:M9)</f>
        <v>-11314150</v>
      </c>
      <c r="N10" s="303">
        <f>SUM(N4:N9)</f>
        <v>-11314150</v>
      </c>
      <c r="O10" s="303">
        <f>SUM(O4:O9)</f>
        <v>-11314150</v>
      </c>
      <c r="P10" s="303">
        <f>SUM(P4:P9)</f>
        <v>-94381341.666666657</v>
      </c>
      <c r="Q10" s="303">
        <f>SUM(Q4:Q9)</f>
        <v>-94853613.461805671</v>
      </c>
      <c r="R10" s="303">
        <f>SUM(R4:R9)</f>
        <v>-36393532.762847498</v>
      </c>
      <c r="S10" s="303">
        <f>SUM(S4:S9)</f>
        <v>31900703.702492405</v>
      </c>
      <c r="T10" s="303">
        <f>SUM(T4:T9)</f>
        <v>103086692.64138442</v>
      </c>
    </row>
    <row r="11" spans="1:20" ht="15.75" customHeight="1">
      <c r="A11" s="65" t="s">
        <v>304</v>
      </c>
      <c r="B11" s="201"/>
      <c r="C11" s="304"/>
      <c r="D11" s="304"/>
      <c r="E11" s="304"/>
      <c r="F11" s="304"/>
      <c r="G11" s="304"/>
      <c r="H11" s="304"/>
      <c r="I11" s="304"/>
      <c r="J11" s="304"/>
      <c r="K11" s="304"/>
      <c r="L11" s="304"/>
      <c r="M11" s="304"/>
      <c r="N11" s="304"/>
      <c r="O11" s="304"/>
      <c r="P11" s="304"/>
      <c r="Q11" s="304"/>
      <c r="R11" s="304"/>
      <c r="S11" s="304"/>
      <c r="T11" s="304"/>
    </row>
    <row r="12" spans="1:20" ht="15.75" customHeight="1">
      <c r="A12" s="11" t="s">
        <v>305</v>
      </c>
      <c r="B12" s="205">
        <v>8</v>
      </c>
      <c r="C12" s="302">
        <f>-'Dự toán BCĐKT'!C11</f>
        <v>-91182000</v>
      </c>
      <c r="D12" s="302">
        <f>-('Dự toán BCĐKT'!D11-'Dự toán BCĐKT'!C11)</f>
        <v>0</v>
      </c>
      <c r="E12" s="302">
        <f>-('Dự toán BCĐKT'!E11-'Dự toán BCĐKT'!D11)</f>
        <v>0</v>
      </c>
      <c r="F12" s="302">
        <f>-('Dự toán BCĐKT'!F11-'Dự toán BCĐKT'!E11)</f>
        <v>0</v>
      </c>
      <c r="G12" s="302">
        <f>-('Dự toán BCĐKT'!G11-'Dự toán BCĐKT'!F11)</f>
        <v>0</v>
      </c>
      <c r="H12" s="302">
        <f>-('Dự toán BCĐKT'!H11-'Dự toán BCĐKT'!G11)</f>
        <v>0</v>
      </c>
      <c r="I12" s="302">
        <f>-('Dự toán BCĐKT'!I11-'Dự toán BCĐKT'!H11)</f>
        <v>0</v>
      </c>
      <c r="J12" s="302">
        <f>-('Dự toán BCĐKT'!J11-'Dự toán BCĐKT'!I11)</f>
        <v>0</v>
      </c>
      <c r="K12" s="302">
        <f>-('Dự toán BCĐKT'!K11-'Dự toán BCĐKT'!J11)</f>
        <v>0</v>
      </c>
      <c r="L12" s="302">
        <f>-('Dự toán BCĐKT'!L11-'Dự toán BCĐKT'!K11)</f>
        <v>0</v>
      </c>
      <c r="M12" s="302">
        <f>-('Dự toán BCĐKT'!M11-'Dự toán BCĐKT'!L11)</f>
        <v>0</v>
      </c>
      <c r="N12" s="302">
        <f>-('Dự toán BCĐKT'!N11-'Dự toán BCĐKT'!M11)</f>
        <v>0</v>
      </c>
      <c r="O12" s="302">
        <f>-('Dự toán BCĐKT'!O11-'Dự toán BCĐKT'!N11)</f>
        <v>0</v>
      </c>
      <c r="P12" s="302">
        <f>-('Dự toán BCĐKT'!P11-'Dự toán BCĐKT'!C11)</f>
        <v>0</v>
      </c>
      <c r="Q12" s="302">
        <f>-('Dự toán BCĐKT'!Q11-'Dự toán BCĐKT'!P11)</f>
        <v>0</v>
      </c>
      <c r="R12" s="302">
        <f>-('Dự toán BCĐKT'!R11-'Dự toán BCĐKT'!Q11)</f>
        <v>0</v>
      </c>
      <c r="S12" s="302">
        <f>-('Dự toán BCĐKT'!S11-'Dự toán BCĐKT'!R11)</f>
        <v>0</v>
      </c>
      <c r="T12" s="302">
        <f>-('Dự toán BCĐKT'!T11-'Dự toán BCĐKT'!S11)</f>
        <v>0</v>
      </c>
    </row>
    <row r="13" spans="1:20" ht="15.75" customHeight="1">
      <c r="A13" s="11" t="s">
        <v>306</v>
      </c>
      <c r="B13" s="205">
        <v>9</v>
      </c>
      <c r="C13" s="302">
        <v>0</v>
      </c>
      <c r="D13" s="302">
        <v>0</v>
      </c>
      <c r="E13" s="302">
        <v>0</v>
      </c>
      <c r="F13" s="302">
        <v>0</v>
      </c>
      <c r="G13" s="302">
        <v>0</v>
      </c>
      <c r="H13" s="302">
        <v>0</v>
      </c>
      <c r="I13" s="302">
        <v>0</v>
      </c>
      <c r="J13" s="302">
        <v>0</v>
      </c>
      <c r="K13" s="302">
        <v>0</v>
      </c>
      <c r="L13" s="302">
        <v>0</v>
      </c>
      <c r="M13" s="302">
        <v>0</v>
      </c>
      <c r="N13" s="302">
        <v>0</v>
      </c>
      <c r="O13" s="302">
        <v>0</v>
      </c>
      <c r="P13" s="302">
        <v>0</v>
      </c>
      <c r="Q13" s="302">
        <v>0</v>
      </c>
      <c r="R13" s="302">
        <v>0</v>
      </c>
      <c r="S13" s="302">
        <v>0</v>
      </c>
      <c r="T13" s="302">
        <v>0</v>
      </c>
    </row>
    <row r="14" spans="1:20" ht="15.75" customHeight="1">
      <c r="A14" s="218" t="s">
        <v>307</v>
      </c>
      <c r="B14" s="219" t="s">
        <v>308</v>
      </c>
      <c r="C14" s="303">
        <f>C12+C13</f>
        <v>-91182000</v>
      </c>
      <c r="D14" s="303">
        <f>D12+D13</f>
        <v>0</v>
      </c>
      <c r="E14" s="303">
        <f>E12+E13</f>
        <v>0</v>
      </c>
      <c r="F14" s="303">
        <f>F12+F13</f>
        <v>0</v>
      </c>
      <c r="G14" s="303">
        <f>G12+G13</f>
        <v>0</v>
      </c>
      <c r="H14" s="303">
        <f>H12+H13</f>
        <v>0</v>
      </c>
      <c r="I14" s="303">
        <f>I12+I13</f>
        <v>0</v>
      </c>
      <c r="J14" s="303">
        <f>J12+J13</f>
        <v>0</v>
      </c>
      <c r="K14" s="303">
        <f>K12+K13</f>
        <v>0</v>
      </c>
      <c r="L14" s="303">
        <f>L12+L13</f>
        <v>0</v>
      </c>
      <c r="M14" s="303">
        <f>M12+M13</f>
        <v>0</v>
      </c>
      <c r="N14" s="303">
        <f>N12+N13</f>
        <v>0</v>
      </c>
      <c r="O14" s="303">
        <f>O12+O13</f>
        <v>0</v>
      </c>
      <c r="P14" s="303">
        <f>P12+P13</f>
        <v>0</v>
      </c>
      <c r="Q14" s="303">
        <f>Q12+Q13</f>
        <v>0</v>
      </c>
      <c r="R14" s="303">
        <f>R12+R13</f>
        <v>0</v>
      </c>
      <c r="S14" s="303">
        <f>S12+S13</f>
        <v>0</v>
      </c>
      <c r="T14" s="303">
        <f>T12+T13</f>
        <v>0</v>
      </c>
    </row>
    <row r="15" spans="1:20" ht="15.75" customHeight="1">
      <c r="A15" s="65" t="s">
        <v>309</v>
      </c>
      <c r="B15" s="201"/>
      <c r="C15" s="304"/>
      <c r="D15" s="304"/>
      <c r="E15" s="304"/>
      <c r="F15" s="304"/>
      <c r="G15" s="304"/>
      <c r="H15" s="304"/>
      <c r="I15" s="304"/>
      <c r="J15" s="304"/>
      <c r="K15" s="304"/>
      <c r="L15" s="304"/>
      <c r="M15" s="304"/>
      <c r="N15" s="304"/>
      <c r="O15" s="304"/>
      <c r="P15" s="304"/>
      <c r="Q15" s="304"/>
      <c r="R15" s="304"/>
      <c r="S15" s="304"/>
      <c r="T15" s="304"/>
    </row>
    <row r="16" spans="1:20" ht="15.75" customHeight="1">
      <c r="A16" s="11" t="s">
        <v>310</v>
      </c>
      <c r="B16" s="205">
        <v>11</v>
      </c>
      <c r="C16" s="302">
        <f>'Dự toán BCĐKT'!C21</f>
        <v>0</v>
      </c>
      <c r="D16" s="302">
        <f>('Dự toán BCĐKT'!D21-'Dự toán BCĐKT'!C21)</f>
        <v>0</v>
      </c>
      <c r="E16" s="302">
        <f>('Dự toán BCĐKT'!E21-'Dự toán BCĐKT'!D21)</f>
        <v>0</v>
      </c>
      <c r="F16" s="302">
        <f>('Dự toán BCĐKT'!F21-'Dự toán BCĐKT'!E21)</f>
        <v>0</v>
      </c>
      <c r="G16" s="302">
        <f>('Dự toán BCĐKT'!G21-'Dự toán BCĐKT'!F21)</f>
        <v>0</v>
      </c>
      <c r="H16" s="302">
        <f>('Dự toán BCĐKT'!H21-'Dự toán BCĐKT'!G21)</f>
        <v>0</v>
      </c>
      <c r="I16" s="302">
        <f>('Dự toán BCĐKT'!I21-'Dự toán BCĐKT'!H21)</f>
        <v>0</v>
      </c>
      <c r="J16" s="302">
        <f>('Dự toán BCĐKT'!J21-'Dự toán BCĐKT'!I21)</f>
        <v>0</v>
      </c>
      <c r="K16" s="302">
        <f>('Dự toán BCĐKT'!K21-'Dự toán BCĐKT'!J21)</f>
        <v>0</v>
      </c>
      <c r="L16" s="302">
        <f>('Dự toán BCĐKT'!L21-'Dự toán BCĐKT'!K21)</f>
        <v>0</v>
      </c>
      <c r="M16" s="302">
        <f>('Dự toán BCĐKT'!M21-'Dự toán BCĐKT'!L21)</f>
        <v>0</v>
      </c>
      <c r="N16" s="302">
        <f>('Dự toán BCĐKT'!N21-'Dự toán BCĐKT'!M21)</f>
        <v>0</v>
      </c>
      <c r="O16" s="302">
        <f>('Dự toán BCĐKT'!O21-'Dự toán BCĐKT'!N21)</f>
        <v>0</v>
      </c>
      <c r="P16" s="302">
        <f>('Dự toán BCĐKT'!P21-'Dự toán BCĐKT'!C21)</f>
        <v>0</v>
      </c>
      <c r="Q16" s="302">
        <f>('Dự toán BCĐKT'!Q21-'Dự toán BCĐKT'!P21)</f>
        <v>0</v>
      </c>
      <c r="R16" s="302">
        <f>('Dự toán BCĐKT'!R21-'Dự toán BCĐKT'!Q21)</f>
        <v>0</v>
      </c>
      <c r="S16" s="302">
        <f>('Dự toán BCĐKT'!S21-'Dự toán BCĐKT'!R21)</f>
        <v>0</v>
      </c>
      <c r="T16" s="302">
        <f>('Dự toán BCĐKT'!T21-'Dự toán BCĐKT'!S21)</f>
        <v>0</v>
      </c>
    </row>
    <row r="17" spans="1:20" ht="15.75" customHeight="1">
      <c r="A17" s="11" t="s">
        <v>311</v>
      </c>
      <c r="B17" s="205">
        <v>12</v>
      </c>
      <c r="C17" s="302">
        <f>'Dự toán BCĐKT'!C24</f>
        <v>250000000</v>
      </c>
      <c r="D17" s="302">
        <f>('Dự toán BCĐKT'!D24-'Dự toán BCĐKT'!C24)</f>
        <v>0</v>
      </c>
      <c r="E17" s="302">
        <f>('Dự toán BCĐKT'!E24-'Dự toán BCĐKT'!D24)</f>
        <v>0</v>
      </c>
      <c r="F17" s="302">
        <f>('Dự toán BCĐKT'!F24-'Dự toán BCĐKT'!E24)</f>
        <v>0</v>
      </c>
      <c r="G17" s="302">
        <f>('Dự toán BCĐKT'!G24-'Dự toán BCĐKT'!F24)</f>
        <v>0</v>
      </c>
      <c r="H17" s="302">
        <f>('Dự toán BCĐKT'!H24-'Dự toán BCĐKT'!G24)</f>
        <v>0</v>
      </c>
      <c r="I17" s="302">
        <f>('Dự toán BCĐKT'!I24-'Dự toán BCĐKT'!H24)</f>
        <v>0</v>
      </c>
      <c r="J17" s="302">
        <f>('Dự toán BCĐKT'!J24-'Dự toán BCĐKT'!I24)</f>
        <v>0</v>
      </c>
      <c r="K17" s="302">
        <f>('Dự toán BCĐKT'!K24-'Dự toán BCĐKT'!J24)</f>
        <v>0</v>
      </c>
      <c r="L17" s="302">
        <f>('Dự toán BCĐKT'!L24-'Dự toán BCĐKT'!K24)</f>
        <v>0</v>
      </c>
      <c r="M17" s="302">
        <f>('Dự toán BCĐKT'!M24-'Dự toán BCĐKT'!L24)</f>
        <v>0</v>
      </c>
      <c r="N17" s="302">
        <f>('Dự toán BCĐKT'!N24-'Dự toán BCĐKT'!M24)</f>
        <v>0</v>
      </c>
      <c r="O17" s="302">
        <f>('Dự toán BCĐKT'!O24-'Dự toán BCĐKT'!N24)</f>
        <v>0</v>
      </c>
      <c r="P17" s="302">
        <f>('Dự toán BCĐKT'!P24-'Dự toán BCĐKT'!C24)</f>
        <v>0</v>
      </c>
      <c r="Q17" s="302">
        <f>('Dự toán BCĐKT'!Q24-'Dự toán BCĐKT'!P24)</f>
        <v>100000000</v>
      </c>
      <c r="R17" s="302">
        <f>('Dự toán BCĐKT'!R24-'Dự toán BCĐKT'!Q24)</f>
        <v>50000000</v>
      </c>
      <c r="S17" s="302">
        <f>('Dự toán BCĐKT'!S24-'Dự toán BCĐKT'!R24)</f>
        <v>0</v>
      </c>
      <c r="T17" s="302">
        <f>('Dự toán BCĐKT'!T24-'Dự toán BCĐKT'!S24)</f>
        <v>0</v>
      </c>
    </row>
    <row r="18" spans="1:20" ht="15.75" customHeight="1">
      <c r="A18" s="11" t="s">
        <v>312</v>
      </c>
      <c r="B18" s="205">
        <v>13</v>
      </c>
      <c r="C18" s="302">
        <v>0</v>
      </c>
      <c r="D18" s="302">
        <v>0</v>
      </c>
      <c r="E18" s="302">
        <v>0</v>
      </c>
      <c r="F18" s="302">
        <v>0</v>
      </c>
      <c r="G18" s="302">
        <v>0</v>
      </c>
      <c r="H18" s="302">
        <v>0</v>
      </c>
      <c r="I18" s="302">
        <v>0</v>
      </c>
      <c r="J18" s="302">
        <v>0</v>
      </c>
      <c r="K18" s="302">
        <v>0</v>
      </c>
      <c r="L18" s="302">
        <v>0</v>
      </c>
      <c r="M18" s="302">
        <v>0</v>
      </c>
      <c r="N18" s="302">
        <v>0</v>
      </c>
      <c r="O18" s="302">
        <v>0</v>
      </c>
      <c r="P18" s="302">
        <v>0</v>
      </c>
      <c r="Q18" s="302">
        <v>0</v>
      </c>
      <c r="R18" s="302">
        <v>0</v>
      </c>
      <c r="S18" s="302">
        <v>0</v>
      </c>
      <c r="T18" s="302">
        <v>0</v>
      </c>
    </row>
    <row r="19" spans="1:20" ht="15.75" customHeight="1">
      <c r="A19" s="218" t="s">
        <v>313</v>
      </c>
      <c r="B19" s="219" t="s">
        <v>314</v>
      </c>
      <c r="C19" s="303">
        <f>C16+C17-C18</f>
        <v>250000000</v>
      </c>
      <c r="D19" s="303">
        <f>D16+D17-D18</f>
        <v>0</v>
      </c>
      <c r="E19" s="303">
        <f>E16+E17-E18</f>
        <v>0</v>
      </c>
      <c r="F19" s="303">
        <f>F16+F17-F18</f>
        <v>0</v>
      </c>
      <c r="G19" s="303">
        <f>G16+G17-G18</f>
        <v>0</v>
      </c>
      <c r="H19" s="303">
        <f>H16+H17-H18</f>
        <v>0</v>
      </c>
      <c r="I19" s="303">
        <f>I16+I17-I18</f>
        <v>0</v>
      </c>
      <c r="J19" s="303">
        <f>J16+J17-J18</f>
        <v>0</v>
      </c>
      <c r="K19" s="303">
        <f>K16+K17-K18</f>
        <v>0</v>
      </c>
      <c r="L19" s="303">
        <f>L16+L17-L18</f>
        <v>0</v>
      </c>
      <c r="M19" s="303">
        <f>M16+M17-M18</f>
        <v>0</v>
      </c>
      <c r="N19" s="303">
        <f>N16+N17-N18</f>
        <v>0</v>
      </c>
      <c r="O19" s="303">
        <f>O16+O17-O18</f>
        <v>0</v>
      </c>
      <c r="P19" s="303">
        <f>P16+P17-P18</f>
        <v>0</v>
      </c>
      <c r="Q19" s="303">
        <f>Q16+Q17-Q18</f>
        <v>100000000</v>
      </c>
      <c r="R19" s="303">
        <f>R16+R17-R18</f>
        <v>50000000</v>
      </c>
      <c r="S19" s="303">
        <f>S16+S17-S18</f>
        <v>0</v>
      </c>
      <c r="T19" s="303">
        <f>T16+T17-T18</f>
        <v>0</v>
      </c>
    </row>
    <row r="20" spans="1:20" ht="15.75" customHeight="1">
      <c r="A20" s="65" t="s">
        <v>315</v>
      </c>
      <c r="B20" s="220" t="s">
        <v>316</v>
      </c>
      <c r="C20" s="304">
        <f>C10+C14+C19</f>
        <v>158168000</v>
      </c>
      <c r="D20" s="304">
        <f>D10+D14+D19</f>
        <v>30100033.333333332</v>
      </c>
      <c r="E20" s="304">
        <f>E10+E14+E19</f>
        <v>-11339875</v>
      </c>
      <c r="F20" s="304">
        <f>F10+F14+F19</f>
        <v>-11314150</v>
      </c>
      <c r="G20" s="304">
        <f>G10+G14+G19</f>
        <v>-11314150</v>
      </c>
      <c r="H20" s="304">
        <f>H10+H14+H19</f>
        <v>-11314150</v>
      </c>
      <c r="I20" s="304">
        <f>I10+I14+I19</f>
        <v>-11314150</v>
      </c>
      <c r="J20" s="304">
        <f>J10+J14+J19</f>
        <v>-11314150</v>
      </c>
      <c r="K20" s="304">
        <f>K10+K14+K19</f>
        <v>-11314150</v>
      </c>
      <c r="L20" s="304">
        <f>L10+L14+L19</f>
        <v>-11314150</v>
      </c>
      <c r="M20" s="304">
        <f>M10+M14+M19</f>
        <v>-11314150</v>
      </c>
      <c r="N20" s="304">
        <f>N10+N14+N19</f>
        <v>-11314150</v>
      </c>
      <c r="O20" s="304">
        <f>O10+O14+O19</f>
        <v>-11314150</v>
      </c>
      <c r="P20" s="304">
        <f>P10+P14+P19</f>
        <v>-94381341.666666657</v>
      </c>
      <c r="Q20" s="304">
        <f>Q10+Q14+Q19</f>
        <v>5146386.5381943285</v>
      </c>
      <c r="R20" s="304">
        <f>R10+R14+R19</f>
        <v>13606467.237152502</v>
      </c>
      <c r="S20" s="304">
        <f>S10+S14+S19</f>
        <v>31900703.702492405</v>
      </c>
      <c r="T20" s="304">
        <f>T10+T14+T19</f>
        <v>103086692.64138442</v>
      </c>
    </row>
    <row r="21" spans="1:20" ht="15.75" customHeight="1">
      <c r="A21" s="204" t="s">
        <v>317</v>
      </c>
      <c r="B21" s="221">
        <v>16</v>
      </c>
      <c r="C21" s="302">
        <v>0</v>
      </c>
      <c r="D21" s="302">
        <f>C22</f>
        <v>158168000</v>
      </c>
      <c r="E21" s="302">
        <f>D22</f>
        <v>188268033.33333334</v>
      </c>
      <c r="F21" s="302">
        <f>E22</f>
        <v>176928158.33333334</v>
      </c>
      <c r="G21" s="302">
        <f>F22</f>
        <v>165614008.33333334</v>
      </c>
      <c r="H21" s="302">
        <f>G22</f>
        <v>154299858.33333334</v>
      </c>
      <c r="I21" s="302">
        <f>H22</f>
        <v>142985708.33333334</v>
      </c>
      <c r="J21" s="302">
        <f>I22</f>
        <v>131671558.33333334</v>
      </c>
      <c r="K21" s="302">
        <f>J22</f>
        <v>120357408.33333334</v>
      </c>
      <c r="L21" s="302">
        <f>K22</f>
        <v>109043258.33333334</v>
      </c>
      <c r="M21" s="302">
        <f>L22</f>
        <v>97729108.333333343</v>
      </c>
      <c r="N21" s="302">
        <f>M22</f>
        <v>86414958.333333343</v>
      </c>
      <c r="O21" s="302">
        <f>N22</f>
        <v>75100808.333333343</v>
      </c>
      <c r="P21" s="302">
        <f>C22</f>
        <v>158168000</v>
      </c>
      <c r="Q21" s="302">
        <f>P22</f>
        <v>63786658.333333343</v>
      </c>
      <c r="R21" s="302">
        <f>Q22</f>
        <v>68933044.871527672</v>
      </c>
      <c r="S21" s="302">
        <f>R22</f>
        <v>82539512.108680174</v>
      </c>
      <c r="T21" s="302">
        <f>S22</f>
        <v>114440215.81117257</v>
      </c>
    </row>
    <row r="22" spans="1:20" ht="15.75" customHeight="1">
      <c r="A22" s="204" t="s">
        <v>318</v>
      </c>
      <c r="B22" s="221" t="s">
        <v>319</v>
      </c>
      <c r="C22" s="302">
        <f>C20+C21</f>
        <v>158168000</v>
      </c>
      <c r="D22" s="302">
        <f>D20+D21</f>
        <v>188268033.33333334</v>
      </c>
      <c r="E22" s="302">
        <f>E20+E21</f>
        <v>176928158.33333334</v>
      </c>
      <c r="F22" s="302">
        <f>F20+F21</f>
        <v>165614008.33333334</v>
      </c>
      <c r="G22" s="302">
        <f>G20+G21</f>
        <v>154299858.33333334</v>
      </c>
      <c r="H22" s="302">
        <f>H20+H21</f>
        <v>142985708.33333334</v>
      </c>
      <c r="I22" s="302">
        <f>I20+I21</f>
        <v>131671558.33333334</v>
      </c>
      <c r="J22" s="302">
        <f>J20+J21</f>
        <v>120357408.33333334</v>
      </c>
      <c r="K22" s="302">
        <f>K20+K21</f>
        <v>109043258.33333334</v>
      </c>
      <c r="L22" s="302">
        <f>L20+L21</f>
        <v>97729108.333333343</v>
      </c>
      <c r="M22" s="302">
        <f>M20+M21</f>
        <v>86414958.333333343</v>
      </c>
      <c r="N22" s="302">
        <f>N20+N21</f>
        <v>75100808.333333343</v>
      </c>
      <c r="O22" s="302">
        <f>O20+O21</f>
        <v>63786658.333333343</v>
      </c>
      <c r="P22" s="305">
        <f>P20+P21</f>
        <v>63786658.333333343</v>
      </c>
      <c r="Q22" s="305">
        <f>Q20+Q21</f>
        <v>68933044.871527672</v>
      </c>
      <c r="R22" s="305">
        <f>R20+R21</f>
        <v>82539512.108680174</v>
      </c>
      <c r="S22" s="305">
        <f>S20+S21</f>
        <v>114440215.81117257</v>
      </c>
      <c r="T22" s="305">
        <f>T20+T21</f>
        <v>217526908.452557</v>
      </c>
    </row>
    <row r="24" spans="1:20" ht="15.75" customHeight="1">
      <c r="A24" s="306" t="s">
        <v>369</v>
      </c>
      <c r="B24" s="242"/>
      <c r="C24" s="243">
        <f>ROUND(C22-('Dự toán BCĐKT'!C5+'Dự toán BCĐKT'!C6),0)</f>
        <v>0</v>
      </c>
      <c r="D24" s="243">
        <f>ROUND(D22-('Dự toán BCĐKT'!D5+'Dự toán BCĐKT'!D6),0)</f>
        <v>0</v>
      </c>
      <c r="E24" s="243">
        <f>ROUND(E22-('Dự toán BCĐKT'!E5+'Dự toán BCĐKT'!E6),0)</f>
        <v>0</v>
      </c>
      <c r="F24" s="243">
        <f>ROUND(F22-('Dự toán BCĐKT'!F5+'Dự toán BCĐKT'!F6),0)</f>
        <v>0</v>
      </c>
      <c r="G24" s="243">
        <f>ROUND(G22-('Dự toán BCĐKT'!G5+'Dự toán BCĐKT'!G6),0)</f>
        <v>0</v>
      </c>
      <c r="H24" s="243">
        <f>ROUND(H22-('Dự toán BCĐKT'!H5+'Dự toán BCĐKT'!H6),0)</f>
        <v>0</v>
      </c>
      <c r="I24" s="243">
        <f>ROUND(I22-('Dự toán BCĐKT'!I5+'Dự toán BCĐKT'!I6),0)</f>
        <v>0</v>
      </c>
      <c r="J24" s="243">
        <f>ROUND(J22-('Dự toán BCĐKT'!J5+'Dự toán BCĐKT'!J6),0)</f>
        <v>0</v>
      </c>
      <c r="K24" s="243">
        <f>ROUND(K22-('Dự toán BCĐKT'!K5+'Dự toán BCĐKT'!K6),0)</f>
        <v>0</v>
      </c>
      <c r="L24" s="243">
        <f>ROUND(L22-('Dự toán BCĐKT'!L5+'Dự toán BCĐKT'!L6),0)</f>
        <v>0</v>
      </c>
      <c r="M24" s="243">
        <f>ROUND(M22-('Dự toán BCĐKT'!M5+'Dự toán BCĐKT'!M6),0)</f>
        <v>0</v>
      </c>
      <c r="N24" s="243">
        <f>ROUND(N22-('Dự toán BCĐKT'!N5+'Dự toán BCĐKT'!N6),0)</f>
        <v>0</v>
      </c>
      <c r="O24" s="243">
        <f>ROUND(O22-('Dự toán BCĐKT'!O5+'Dự toán BCĐKT'!O6),0)</f>
        <v>0</v>
      </c>
      <c r="P24" s="243">
        <f>ROUND(P22-('Dự toán BCĐKT'!P5+'Dự toán BCĐKT'!P6),0)</f>
        <v>0</v>
      </c>
      <c r="Q24" s="243">
        <f>ROUND(Q22-('Dự toán BCĐKT'!Q5+'Dự toán BCĐKT'!Q6),0)</f>
        <v>0</v>
      </c>
      <c r="R24" s="243">
        <f>ROUND(R22-('Dự toán BCĐKT'!R5+'Dự toán BCĐKT'!R6),0)</f>
        <v>0</v>
      </c>
      <c r="S24" s="243">
        <f>ROUND(S22-('Dự toán BCĐKT'!S5+'Dự toán BCĐKT'!S6),0)</f>
        <v>0</v>
      </c>
      <c r="T24" s="243">
        <f>ROUND(T22-('Dự toán BCĐKT'!T5+'Dự toán BCĐKT'!T6),0)</f>
        <v>0</v>
      </c>
    </row>
    <row r="25" spans="1:20" ht="15.75" customHeight="1">
      <c r="A25" s="307" t="s">
        <v>370</v>
      </c>
      <c r="B25" s="241"/>
      <c r="C25" s="241"/>
      <c r="D25" s="241"/>
      <c r="E25" s="241"/>
      <c r="F25" s="241"/>
      <c r="G25" s="241"/>
      <c r="H25" s="241"/>
      <c r="I25" s="241"/>
      <c r="J25" s="241"/>
      <c r="K25" s="241"/>
      <c r="L25" s="241"/>
      <c r="M25" s="241"/>
      <c r="N25" s="241"/>
      <c r="O25" s="241"/>
      <c r="P25" s="241"/>
      <c r="Q25" s="241"/>
      <c r="R25" s="241"/>
      <c r="S25" s="241"/>
      <c r="T25" s="241"/>
    </row>
  </sheetData>
  <mergeCells count="1">
    <mergeCell ref="A1:T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PC</vt:lpstr>
      <vt:lpstr>Giả định</vt:lpstr>
      <vt:lpstr>Giả định doanh thu</vt:lpstr>
      <vt:lpstr>Giả định chi phí</vt:lpstr>
      <vt:lpstr>Dự toán thuế GTGT</vt:lpstr>
      <vt:lpstr>Dự toán báo cáo thu nhập</vt:lpstr>
      <vt:lpstr>Dự toán BCĐKT</vt:lpstr>
      <vt:lpstr>Dự toán BCLCTT</vt:lpstr>
      <vt:lpstr>Thời gian hoàn vốn, NPV, IRR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Hoàng Lâm (VSF-KDL&amp;AI-SPDL&amp;AI)</cp:lastModifiedBy>
  <dcterms:modified xsi:type="dcterms:W3CDTF">2026-10-28T15:19:01Z</dcterms:modified>
</cp:coreProperties>
</file>