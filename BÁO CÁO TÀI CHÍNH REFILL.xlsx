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 sheetId="1" r:id="rId5"/>
    <sheet state="visible" name="Giả định" sheetId="2" r:id="rId6"/>
    <sheet state="visible" name="Giả định doanh thu" sheetId="3" r:id="rId7"/>
    <sheet state="visible" name="Giả định chi phí" sheetId="4" r:id="rId8"/>
    <sheet state="visible" name="Dự toán thuế GTGT" sheetId="5" r:id="rId9"/>
    <sheet state="visible" name="Dự toán báo cáo thu nhập" sheetId="6" r:id="rId10"/>
    <sheet state="visible" name="Dự toán BCĐKT" sheetId="7" r:id="rId11"/>
    <sheet state="visible" name="Dự toán BCLCTT" sheetId="8" r:id="rId12"/>
    <sheet state="visible" name="Thời gian hoàn vốn, NPV, IRR" sheetId="9" r:id="rId13"/>
  </sheets>
  <definedNames/>
  <calcPr/>
</workbook>
</file>

<file path=xl/sharedStrings.xml><?xml version="1.0" encoding="utf-8"?>
<sst xmlns="http://schemas.openxmlformats.org/spreadsheetml/2006/main" count="546" uniqueCount="340">
  <si>
    <t>SỐ LƯỢNG KHÁCH HÀNG (CẢ 2 TRẠM)</t>
  </si>
  <si>
    <t>Tên dự án</t>
  </si>
  <si>
    <t>Tên</t>
  </si>
  <si>
    <t>RE-FILL</t>
  </si>
  <si>
    <t>Deadline</t>
  </si>
  <si>
    <t>GIẢ ĐỊNH DOANH THU, DỰ TOÁN BÁO CÁO THU NHẬP</t>
  </si>
  <si>
    <t>Thành viên nhóm</t>
  </si>
  <si>
    <t>Dương</t>
  </si>
  <si>
    <t>Chỉ tiêu</t>
  </si>
  <si>
    <t>hạn cuối hết thứ 2
(26/10)</t>
  </si>
  <si>
    <t>1. Đinh Ngọc Thùy Dương</t>
  </si>
  <si>
    <t>Số lượng</t>
  </si>
  <si>
    <t>Tú</t>
  </si>
  <si>
    <t>Giải thích</t>
  </si>
  <si>
    <t>2. Mai Thanh Cẩm Tú</t>
  </si>
  <si>
    <t>DỰ TOÁN BCĐKT + BCLCTT</t>
  </si>
  <si>
    <t>3. Hồ Thị Mỹ Trâm</t>
  </si>
  <si>
    <t>Phụng</t>
  </si>
  <si>
    <t>hạn cuối 22h thứ 4
(28/10)</t>
  </si>
  <si>
    <t>4. Nguyễn Thị Kim Tuyền</t>
  </si>
  <si>
    <t>Số khách hàng tháng 1</t>
  </si>
  <si>
    <t>Trâm</t>
  </si>
  <si>
    <t>THỜI GIAN HOÀN VỐN, NPV, IRR</t>
  </si>
  <si>
    <t>Tuyền</t>
  </si>
  <si>
    <t>5. Hồ Kim Phụng</t>
  </si>
  <si>
    <t>Khách mở đầu, khuyến mãi khai trương, quảng cáo thu hút khách hàng</t>
  </si>
  <si>
    <t>Mô tả chung về dự án</t>
  </si>
  <si>
    <t>Chi phí lương nhân viên theo tháng</t>
  </si>
  <si>
    <t>Số khách hàng tháng 2–12</t>
  </si>
  <si>
    <t>STT</t>
  </si>
  <si>
    <t>Tăng trưởng khách hàng mỗi năm</t>
  </si>
  <si>
    <t>Giả định</t>
  </si>
  <si>
    <t>Giá bán</t>
  </si>
  <si>
    <t>Nhân viên</t>
  </si>
  <si>
    <t>Giá bán tăng 3% qua mỗi năm</t>
  </si>
  <si>
    <t>Vị trí và nhiệm vụ</t>
  </si>
  <si>
    <t>Doanh thu tăng trưởng</t>
  </si>
  <si>
    <t>Doanh thu tăng 13% qua mỗi năm (khách hàng tăng 10% và giá bán tăng 3%)</t>
  </si>
  <si>
    <t>Mức lương/ tháng</t>
  </si>
  <si>
    <t>Trạm RE-FILL</t>
  </si>
  <si>
    <t>Tổng chi phí/tháng</t>
  </si>
  <si>
    <t>Khách bình quân mỗi trạm (tháng 1)</t>
  </si>
  <si>
    <t xml:space="preserve"> khách/trạm/tháng</t>
  </si>
  <si>
    <t>(đã bao gồm (BH + KPCĐ 23,5%)</t>
  </si>
  <si>
    <t>Số lượng 2
Diện tích: 3–4 m²</t>
  </si>
  <si>
    <t>Nguyễn Thị Kim Tuyền</t>
  </si>
  <si>
    <t>Quản lý chung / Giám sát vận hành &amp; Tài chính</t>
  </si>
  <si>
    <t>Giá thị trường
Phân khúc bình dân</t>
  </si>
  <si>
    <t>Giá bán ước tính/250ml</t>
  </si>
  <si>
    <t>Giá bán ước tính/100ml</t>
  </si>
  <si>
    <t>Giá bán ước tính/500ml</t>
  </si>
  <si>
    <t>Khách bình quân mỗi trạm (tháng 2–12)</t>
  </si>
  <si>
    <t xml:space="preserve"> BẢNG GIÁ SẢN PHẨM – NĂM 1</t>
  </si>
  <si>
    <t xml:space="preserve">Mặt bằng </t>
  </si>
  <si>
    <t>Tại Liên Chiểu</t>
  </si>
  <si>
    <t>Dầu gội</t>
  </si>
  <si>
    <t>Sản phẩm</t>
  </si>
  <si>
    <t>Dầu gội cao bồ kết Thorakao 250ml: 48.000
Dầu gội Dược liệu Nguyên Xuân Nâu 250ml: Giá khoảng 70.000đ – 79.000đ
Dầu gội Clear / Pantene / Head &amp; Shoulders (330ml - 380ml): Mức giá dao động từ 85.000đ – 115.000đ</t>
  </si>
  <si>
    <t>Giá /100ml</t>
  </si>
  <si>
    <t>Giá /250ml</t>
  </si>
  <si>
    <t>Giá /500ml</t>
  </si>
  <si>
    <t>Dầu gội BONNY</t>
  </si>
  <si>
    <t>Đinh Ngọc Thùy Dương</t>
  </si>
  <si>
    <t>Bộ phận chuỗi cung ứng:
Bộ phận chuỗi cung ứng
Nhập hàng BONNY,  điều phối sản phẩm nạp ra 2 trạm, kiểm tra chất lượng, vệ sinh, 
bảo trì máy chiết rót; Phụ trách trạm 1: bật máy chiết rót lúc 8:00, tắt máy và vệ sinh lúc 21:00, 
bổ sung và kiểm tra dung dịch hỗ trợ khách, giao hàng online cho trạm 1</t>
  </si>
  <si>
    <t>Sữa tắm BONNY</t>
  </si>
  <si>
    <t>Nước rửa chén BONNY</t>
  </si>
  <si>
    <t>Hồ Kim Phụng</t>
  </si>
  <si>
    <t>Bộ phận Tài chính- kế toán:
Thu–chi, đối soát doanh thu, theo dõi tồn kho và giá vốn, kê khai thuế, chấm công, tính lương nhân viên, lập báo cáo tài chính.</t>
  </si>
  <si>
    <t>Hồ Thị Mỹ Trâm</t>
  </si>
  <si>
    <t>Bộ phận Marketing:
Tìm kiếm và phát triển khách hàng
Chạy quảng cáo Facebook/TikTok, vận hành chương trình khuyến mãi, quản lý fanpage, 
theo dõi phản hồi và giải đáp thắc mắc của khách hàng trên các kênh trực tuyến. 
Đồng thời, Trâm tiếp nhận và xác nhận thông tin đơn hàng, sau đó phối hợp với Dương và Tú 
để chuẩn bị và giao hàng.</t>
  </si>
  <si>
    <t>Mai Thanh Cẩm Tú</t>
  </si>
  <si>
    <t>Bộ phận kinh doanh:
Khảo sát, thương lượng địa điểm (ký túc xá, chung cư, khu dân cư), 
phụ trách trạm 2: bật máy chiết rót lúc 8:00, tắt máy và vệ sinh lúc 21:00, bổ sung và kiểm tra
 dung dịch, hỗ trợ khách, giao hàng online cho trạm 2.</t>
  </si>
  <si>
    <t>LƯỢNG NẠP VÀ DOANH THU BÌNH QUÂN MỖI KHÁCH MỖI THÁNG</t>
  </si>
  <si>
    <t>link</t>
  </si>
  <si>
    <t>Danh mục</t>
  </si>
  <si>
    <t>Tổng</t>
  </si>
  <si>
    <t>Lượng nạp (ml/khách/tháng)</t>
  </si>
  <si>
    <t>Tỷ lệ sản lượng</t>
  </si>
  <si>
    <t>Doanh thu/khách/ tháng (đ)</t>
  </si>
  <si>
    <t>Giá vốn/khách (đ)</t>
  </si>
  <si>
    <t>Giá vốn/lít</t>
  </si>
  <si>
    <t>33.3%</t>
  </si>
  <si>
    <t>Tại Ngũ Hành Sơn</t>
  </si>
  <si>
    <t>Sữa tắm</t>
  </si>
  <si>
    <t>Sữa tắm Lifebuoy chăm sóc da chai 250g: 58.000
Sữa tắm gội Lactacyd Baby Extra Milky 250ml: 100.000</t>
  </si>
  <si>
    <t>Chi phí pháp lý quản lý doanh nghiệp</t>
  </si>
  <si>
    <t>Khoản mục</t>
  </si>
  <si>
    <t>Năm 0</t>
  </si>
  <si>
    <t>Link (nguồn)</t>
  </si>
  <si>
    <t>Nước rửa chén</t>
  </si>
  <si>
    <t>Lệ phí đăng ký thành lập doanh nghiệp (Giấy phép KD)</t>
  </si>
  <si>
    <t>Tổng lượng nạp</t>
  </si>
  <si>
    <t>Link</t>
  </si>
  <si>
    <t>100.0%</t>
  </si>
  <si>
    <t>Công suất làm việc máy</t>
  </si>
  <si>
    <t>8h-21h</t>
  </si>
  <si>
    <t>Tỷ lệ giá vốn / doanh thu</t>
  </si>
  <si>
    <t>Nước rửa chén hương Chanh Sunlight 400g: 26.000
Nước rửa chén Mỹ Hảo 200ml: 18.000</t>
  </si>
  <si>
    <t>Lệ phí công bố thông tin đăng ký doanh nghiệp</t>
  </si>
  <si>
    <t>CHƯƠNG TRÌNH KHUYẾN MÃI</t>
  </si>
  <si>
    <t>THÁNG 1- NĂM 1</t>
  </si>
  <si>
    <t>Giảm 10%/ tổng giá trị đơn hàng</t>
  </si>
  <si>
    <t>DOANH THU VÀ GIÁ VỐN THEO THÁNG – NĂM 1</t>
  </si>
  <si>
    <t>DỰ TOÁN THUẾ GTGT – PHƯƠNG PHÁP TRỰC TIẾP TRÊN DOANH THU</t>
  </si>
  <si>
    <t>Tháng 1</t>
  </si>
  <si>
    <t>Tháng 2</t>
  </si>
  <si>
    <t>Tháng 3</t>
  </si>
  <si>
    <t>Tháng 4</t>
  </si>
  <si>
    <t>Tháng 5</t>
  </si>
  <si>
    <t>Tháng 6</t>
  </si>
  <si>
    <t>Tháng 7</t>
  </si>
  <si>
    <t>Tháng 8</t>
  </si>
  <si>
    <t>Tháng 9</t>
  </si>
  <si>
    <t>Tháng 10</t>
  </si>
  <si>
    <t>Tháng 11</t>
  </si>
  <si>
    <t>Tháng 12</t>
  </si>
  <si>
    <t>Năm 1</t>
  </si>
  <si>
    <t>Số lượng khách hàng</t>
  </si>
  <si>
    <t>Giả định: công ty đủ điều kiện tính trực tiếp; bán lại hàng hóa thành phẩm, không tự sản xuất</t>
  </si>
  <si>
    <t>Doanh thu dầu gội</t>
  </si>
  <si>
    <t>Chi phí trang thiết bị</t>
  </si>
  <si>
    <r>
      <rPr>
        <rFont val="Times New Roman"/>
        <b/>
        <color theme="1"/>
        <sz val="14.0"/>
      </rPr>
      <t>Theo khoản 1 Điều 12 Luật Thuế giá trị gia tăng số 48/2024/QH15</t>
    </r>
    <r>
      <rPr>
        <rFont val="Times New Roman"/>
        <color theme="1"/>
        <sz val="14.0"/>
      </rPr>
      <t>, quy định về phương pháp tính thuế GTGT trực tiếp trên doanh thu như sau:</t>
    </r>
  </si>
  <si>
    <t>Đơn vị</t>
  </si>
  <si>
    <t>Tỷ lệ GTGT trực tiếp – phân phối hàng hóa</t>
  </si>
  <si>
    <t>Đơn giá</t>
  </si>
  <si>
    <t>Thành tiền</t>
  </si>
  <si>
    <t>CHI PHÍ SẢN PHẨM NẠP- THÁNG 1</t>
  </si>
  <si>
    <t>Nhân sự</t>
  </si>
  <si>
    <t xml:space="preserve">Số lượng: 5
- Nguyễn Thị Kim Tuyền
+ Quản lý chung- giám sát vận hành tài chính
- Đinh Ngọc Thùy Dương
+ Bộ phận chuỗi cung ứng
+ Nhập hàng BONNY,  điều phối sản phẩm nạp ra 2 trạm, kiểm tra chất lượng, vệ sinh, bảo trì máy chiết rót; Phụ trách trạm 1: bật máy chiết rót lúc 8:00, tắt máy và vệ sinh lúc 21:00,
 bổ sung và kiểm tra dung dịch, hỗ trợ khách, giao hàng online cho trạm 1.
giao hàng online cho trạm 1.
- Hồ Kim Phụng
+ Bộ phận Tài chính- kế toán
+ Thu–chi, đối soát doanh thu, theo dõi tồn kho và giá vốn, kê khai thuế, chấm công, tính lương nhân viên, lập báo cáo tài chính.
- Hồ Thị Mỹ Trâm
+ Bộ phận Marketing
+ Tìm kiếm và phát triển khách hàng
+ Chạy quảng cáo Facebook/TikTok, vận hành chương trình khuyến mãi, quản lý fanpage, theo dõi phản hồi và giải đáp thắc mắc của khách hàng trên các kênh trực tuyến. 
Đồng thời, Trâm tiếp nhận và xác nhận thông tin đơn hàng, sau đó phối hợp với Dương hoặc Tú để chuẩn bị và giao hàng.
- Mai Thanh Cẩm Tú
+ Bộ phận kinh doanh
+ Khảo sát, thương lượng địa điểm (ký túc xá, chung cư, khu dân cư), phụ trách trạm 2: bật máy chiết rót lúc 8:00, tắt máy và vệ sinh lúc 21:00, 
bổ sung và kiểm tra dung dịch, hỗ trợ khách, giao hàng online cho trạm 2.
</t>
  </si>
  <si>
    <t>Máy chiết dung dịch tự động PUKUI</t>
  </si>
  <si>
    <t>Giảm tỷ lệ theo chính sách ưu đãi (nếu đủ điều kiện)</t>
  </si>
  <si>
    <t>Máy</t>
  </si>
  <si>
    <t>Tỷ lệ GTGT thực tế áp dụng</t>
  </si>
  <si>
    <t>Lương Nhân sự</t>
  </si>
  <si>
    <t>- Đinh Ngọc Thùy Dương
Mức lương= lương/ tháng+ chi phí bảo hiểm, kinh phí công đoàn(23,5%) = 8.645.000 đ
- Mai Thanh Cẩm Tú
Mức lương= lương/ tháng+ chi phí bảo hiểm, kinh phí công đoàn(23,5%)=  8.027.500 đ
- Hồ Thị Mỹ Trâm
Mức lương= lương/ tháng+ chi phí bảo hiểm, kinh phí công đoàn(23,5%)= 8.027.500 đ
- Nguyễn Thị Kim Tuyền
Mức lương= lương/ tháng+ chi phí bảo hiểm, kinh phí công đoàn(23,5%)= 12.350.000 đ
- Hồ Kim Phụng
Mức lương= lương/ tháng+ chi phí bảo hiểm, kinh phí công đoàn(23,5%)=  8.645.000 đ</t>
  </si>
  <si>
    <t>Doanh thu sữa tắm</t>
  </si>
  <si>
    <t>Giá vốn</t>
  </si>
  <si>
    <t>Dầu gội Bonny:  38.500đ/ 1 lít
Sữa tắm Bonny: 38.500đ/ 1 lít
Nước rửa chén Bonny: 25.800đ/ 1 lít</t>
  </si>
  <si>
    <t>Giá vốn hàng bán
tăng mỗi năm</t>
  </si>
  <si>
    <t>Giá vốn mỗi lít được giả định tăng 3% mỗi năm nhằm phản ánh sự gia tăng của giá nguyên liệu đầu vào do tác động của lạm phát. 
Mức tăng này được áp dụng trên giá vốn của năm trước, kết hợp với sản lượng nạp dự kiến tăng qua từng năm để xác định tổng chi phí nguyên liệu trong kỳ. 
Theo số liệu, CPI bình quân của Việt Nam giai đoạn 2016–2025 ở mức khoảng 3,09%/năm. 
Giả định tăng giá vốn 3%/năm được lựa chọn làm cơ sở dự báo, phù hợp với xu hướng biến động giá cả trong dài hạn.</t>
  </si>
  <si>
    <t>Link tham khảo</t>
  </si>
  <si>
    <t>Năm 2</t>
  </si>
  <si>
    <t>Doanh thu nước rửa chén</t>
  </si>
  <si>
    <t>Năm 3</t>
  </si>
  <si>
    <t>Năm 4</t>
  </si>
  <si>
    <t>Năm 5</t>
  </si>
  <si>
    <t>Doanh thu bán hàng (đã gồm GTGT theo trực tiếp)</t>
  </si>
  <si>
    <t>Chưa tính chi phí vận chuyển + Thuế</t>
  </si>
  <si>
    <t>Hao hụt chiết rót</t>
  </si>
  <si>
    <t>Giả định tỷ lệ hao hụt nguyên liệu ở mức 3% giá vốn nhằm dự phòng lượng dung dịch thất thoát.</t>
  </si>
  <si>
    <t xml:space="preserve">Tổng doanh thu </t>
  </si>
  <si>
    <t>Link(nguồn)</t>
  </si>
  <si>
    <t>Máy POS bán hàng cảm ứng 2 màn hình</t>
  </si>
  <si>
    <t>Hàng tồn kho</t>
  </si>
  <si>
    <t>Nhập hàng theo nhu cầu bán, bổ sung thường xuyên và không còn hàng tồn kho đáng kể vào cuối mỗi kỳ.
RE-FILL dự kiến triển khai bán hàng trực tiếp tại trạm refill kết hợp bán hàng online thông qua các kênh trực tuyến. 
Đối với hoạt động tại trạm, doanh nghiệp chủ động bổ sung sản phẩm định kỳ dựa trên nhu cầu tiêu thụ dự kiến. 
Đối với kênh online, doanh nghiệp tiếp nhận đơn đặt hàng, tổng hợp nhu cầu và tổ chức chuẩn bị hàng hóa theo đơn nhằm hạn chế lượng hàng lưu kho.</t>
  </si>
  <si>
    <t>Khuyến mãi khai trương (giảm trừ)</t>
  </si>
  <si>
    <t>-</t>
  </si>
  <si>
    <t>Doanh thu thuần</t>
  </si>
  <si>
    <t>Giá thị trường của dầu gội (dao động từ 48.000 đến 115.000đ/250ml), sữa tắm (dao động từ 58.000 đến 100.000đ/250ml), nước rửa chén(dao động từ 18.000 đến 26.000đ/250ml), 
dự án giả định mức giá refill thấp hơn 20% so với giá tham chiếu nhằm tạo lợi thế cạnh tranh, tiết kiệm chi phí cho khách hàng và khuyến khích tái sử dụng chai đựng.
Trong các năm tiếp theo, giá bán được giả định tăng 3%/năm để bù đắp mức tăng chi phí đầu vào do lạm phát, đồng thời duy trì tính cạnh tranh của sản phẩm.
Giá refill(đã làm tròn):
Dầu gội Bonny: (15.000 đ/100ml, 38.000 đ/250ml, 77.000 đ/ 500ml)
Sữa tắm Bonny: (19.000 đ/100ml, 46.000 đ/250ml, 93.000 đ/ 500ml)
Nước rửa chén Bonny:( 7.000 đ/100ml, 18.000 đ/250ml, 36.000 đ/ 500ml)</t>
  </si>
  <si>
    <t>Khuyến mãi khai trương
trạm</t>
  </si>
  <si>
    <t>Triển khai ở tháng đầu tiên, giảm 10% cho tổng đơn hàng
Ngân sách khuyến mãi cho cả 2 trạm: 2.000.000 đ</t>
  </si>
  <si>
    <t>Khách hàng</t>
  </si>
  <si>
    <t>Tháng 1: tổng 600 khách hàng cho cả 2 trạm
Tháng 2 đến tháng 12: Tăng lên 650 khách hàng cho cả 2 trạm
Tăng trưởng khách hàng mỗi năm: 10%</t>
  </si>
  <si>
    <t xml:space="preserve">Dầu gội BONNY </t>
  </si>
  <si>
    <t>Doanh thu theo tháng 
-  năm 1</t>
  </si>
  <si>
    <t>Giả định:
- Số khách hàng trung bình mỗi trạm: 300 người/ 1 trạm
- Mỗi khách nạp 250ml mỗi sản phẩm/ 1 tháng
- Tổng sản lượng nạp: 250 ml x 3 = 750 ml
+ Tháng 1 600 khách hàng 2 trạm
Doanh thu dầu gội = số lượng nạp x số lượng khách hàng x giá bán= 22.800.000 đ
Doanh thu nước rửa chén = số lượng nạp x số lượng khách hàng x giá bán= 10.800.000 đ
Doanh thu sữa tắm = số lượng nạp x số lượng khách hàng x giá bán= 27.600.000 đ
Tổng doanh thu tháng 1 năm 1= Doanh thu dầu gội + doanh thu nước rửa chén + doanh thu sữa tắm=61.200.000 đ
+ Tháng 2-12 650 khách hàng 2 trạm
Doanh thu dầu gội(tháng) = số lượng nạp x số lượng khách hàng x giá bán= 24.700.000 đ
Doanh thu nước rửa chén(tháng) = số lượng nạp x số lượng khách hàng x giá bán= 11.700.000 đ
Doanh thu sữa tắm(tháng) = số lượng nạp x số lượng khách hàng x giá bán= 29.900.000 đ
Tổng doanh thu tháng 2-12 năm 1(tháng)= Doanh thu dầu gội + doanh thu nước rửa chén + doanh thu sữa tắm=66.300.000 đ</t>
  </si>
  <si>
    <t>Lít</t>
  </si>
  <si>
    <t>Doanh thu tăng trưởng
hàng năm</t>
  </si>
  <si>
    <t>Doanh thu tăng 13%/ năm (tăng trưởng khách hàng 10% và giá bán tăng 3%)</t>
  </si>
  <si>
    <t>Sản lượng dầu gội (lít)</t>
  </si>
  <si>
    <t>Thuế TNDN</t>
  </si>
  <si>
    <t xml:space="preserve">15% (doanh nghiệp có tổng doanh thu năm không quá 3 tỷ đồng). </t>
  </si>
  <si>
    <t>Điều 10, Luật Thuế Thu nhập doanh nghiệp 2025 
(Luật số 67/2025/QH15)</t>
  </si>
  <si>
    <t>Tài sản cố định</t>
  </si>
  <si>
    <t>Trang thiết bị nguyên giá: 91.182.000đ
 khấu hao đường thẳng 5 năm</t>
  </si>
  <si>
    <t>Gồm 2 máy chiết rót, 2 máy POS và dụng cụ trạm 
( sheet Giả định chi phí). 
Không mua thêm TSCĐ trong 5 năm</t>
  </si>
  <si>
    <t>Giảm trừ bán hàng / khuyến mãi</t>
  </si>
  <si>
    <t>Sản lượng sữa tắm (lít)</t>
  </si>
  <si>
    <t>Tồn kho bình quân 5 ngày giá vốn; 
phải thu 2 ngày doanh thu; phải trả nhà 
cung cấp 15 ngày</t>
  </si>
  <si>
    <t>Nhập hàng theo nhu cầu nên tồn kho thấp</t>
  </si>
  <si>
    <t>Túi đựng dung dịch có nắp vặn 3L ( Bao bì đóng gói đơn hàng online )</t>
  </si>
  <si>
    <t>Vốn đầu tư ban đầu</t>
  </si>
  <si>
    <t xml:space="preserve">Túi </t>
  </si>
  <si>
    <t>Doanh thu tính thuế GTGT</t>
  </si>
  <si>
    <t>Đầu tư ban đầu 91.832.000đ; 
góp vốn chủ sở hữu: 250 triệu (Năm 0), 
100 triệu (Năm 2), 50 triệu (Năm 3)</t>
  </si>
  <si>
    <t>Không vay nợ. Vốn góp bù lỗ để tiền mặt không âm.</t>
  </si>
  <si>
    <t>Sản lượng nước rửa chén (lít)</t>
  </si>
  <si>
    <t>Tỷ lệ GTGT trực tiếp</t>
  </si>
  <si>
    <t>Giá vốn dầu gội</t>
  </si>
  <si>
    <t>Thuế GTGT phải nộp</t>
  </si>
  <si>
    <t xml:space="preserve">Sữa tắm BONNY </t>
  </si>
  <si>
    <t>Decal logo RE-FILL, nhãn dán 3 loại sản phẩm và hướng dẫn sử dụng</t>
  </si>
  <si>
    <t>Bộ</t>
  </si>
  <si>
    <t>Giá vốn sữa tắm</t>
  </si>
  <si>
    <t>Doanh thu thuần sau GTGT</t>
  </si>
  <si>
    <t xml:space="preserve">Nước rửa chén BONNY </t>
  </si>
  <si>
    <t>Bảng mica nhận diện thương hiệu  RE-FILL 30 × 40 cm</t>
  </si>
  <si>
    <t>Cái</t>
  </si>
  <si>
    <t>Thuế GTGT đầu vào khấu trừ</t>
  </si>
  <si>
    <t>Giá vốn nước rửa chén</t>
  </si>
  <si>
    <t>Chi phí vận chuyển dầu gội, sữa tắm,
nước rửa chén</t>
  </si>
  <si>
    <t>Bảng menu sản phẩm ( In decal bồi formex 3mm-5mm.)</t>
  </si>
  <si>
    <t>Phễu chiết rót lọc dung dịch</t>
  </si>
  <si>
    <t>Tổng giá vốn hàng bán</t>
  </si>
  <si>
    <t>DOANH THU VÀ GIÁ VỐN THEO NĂM</t>
  </si>
  <si>
    <t>Dụng cụ làm sạch chai đựng dung dịch của khách hàng</t>
  </si>
  <si>
    <t>Số khách hàng bình quân mỗi tháng</t>
  </si>
  <si>
    <t>Tổng lượt khách trong năm</t>
  </si>
  <si>
    <t>Ca đong có chia vạch (1000ml)</t>
  </si>
  <si>
    <t>Chi phí cố định ( áp dụng cho 2 cơ sở)</t>
  </si>
  <si>
    <t>Năm 1(tính theo tháng)</t>
  </si>
  <si>
    <t>A</t>
  </si>
  <si>
    <t xml:space="preserve">Chi phí nhân sự </t>
  </si>
  <si>
    <t>Lương quản lý chung</t>
  </si>
  <si>
    <t>Lương trưởng bộ phận Sản xuất &amp; Vận hành</t>
  </si>
  <si>
    <t>Lương trưởng bộ phận Tài chính – Kế toán</t>
  </si>
  <si>
    <t>Tăng trưởng doanh thu thuần</t>
  </si>
  <si>
    <t>Lương trưởng bộ phận Marketing</t>
  </si>
  <si>
    <t>Lương trưởng bộ phận Kinh doanh</t>
  </si>
  <si>
    <t>B</t>
  </si>
  <si>
    <t>Chi phí mặt bằng (2 cơ sở)</t>
  </si>
  <si>
    <t>Thuê mặt bằng kinh doanh và lưu kho</t>
  </si>
  <si>
    <t>DỰ TOÁN BÁO CÁO THU NHẬP</t>
  </si>
  <si>
    <t>C</t>
  </si>
  <si>
    <t>Chi phí vận hành cố định</t>
  </si>
  <si>
    <t>BẢNG TỔNG HỢP</t>
  </si>
  <si>
    <t>Điện cố định</t>
  </si>
  <si>
    <t>Tỷ lệ thuế TNDN</t>
  </si>
  <si>
    <t>Tăng lương/năm</t>
  </si>
  <si>
    <t>Doanh thu</t>
  </si>
  <si>
    <t>Chi phí đầu tư ban đầu</t>
  </si>
  <si>
    <t>DỰ TOÁN BẢNG CÂN ĐỐI KẾ TOÁN</t>
  </si>
  <si>
    <t>Nước cố định</t>
  </si>
  <si>
    <t>Ký hiệu và công thức tính</t>
  </si>
  <si>
    <t>Bảo trì, bảo dưỡng thiết bị</t>
  </si>
  <si>
    <t xml:space="preserve">Năm 4 </t>
  </si>
  <si>
    <t>TÀI SẢN</t>
  </si>
  <si>
    <t>Đăng ký hộ kinh doanh và chuẩn bị hợp đồng</t>
  </si>
  <si>
    <t>A. TÀI SẢN NGẮN HẠN</t>
  </si>
  <si>
    <t>Tiền mặt cần thiết</t>
  </si>
  <si>
    <t>Tiền mặt thặng dư</t>
  </si>
  <si>
    <t>Khoản phải thu</t>
  </si>
  <si>
    <t>GIẢI THÍCH BẢNG CHI PHÍ CỐ ĐỊNH</t>
  </si>
  <si>
    <t>(Các khoản giảm trừ 
doanh thu)</t>
  </si>
  <si>
    <t>Tổng tài sản ngắn hạn</t>
  </si>
  <si>
    <t>B. TÀI SẢN DÀI HẠN</t>
  </si>
  <si>
    <t>Nguyên giá tài sản cố định</t>
  </si>
  <si>
    <t>Trừ: Khấu hao tích lũy</t>
  </si>
  <si>
    <t>Tài sản cố định ròng</t>
  </si>
  <si>
    <t>TỔNG TÀI SẢN</t>
  </si>
  <si>
    <t>NGUỒN VỐN</t>
  </si>
  <si>
    <t>A. NỢ</t>
  </si>
  <si>
    <t>Nợ ngắn hạn</t>
  </si>
  <si>
    <t>Chi phí biến đổi</t>
  </si>
  <si>
    <t>Khoản phải trả</t>
  </si>
  <si>
    <t>Tiền công và phải trả khác</t>
  </si>
  <si>
    <t>Tổng nợ ngắn hạn</t>
  </si>
  <si>
    <t>Nợ dài hạn</t>
  </si>
  <si>
    <t>Giá vốn hàng bán</t>
  </si>
  <si>
    <t>Tổng nợ</t>
  </si>
  <si>
    <t>B. VỐN CHỦ SỞ HỮU</t>
  </si>
  <si>
    <t>Vốn chủ sở hữu</t>
  </si>
  <si>
    <t>Lợi nhuận giữ lại</t>
  </si>
  <si>
    <t>Tổng vốn chủ</t>
  </si>
  <si>
    <t>TỔNG CỘNG NGUỒN VỐN</t>
  </si>
  <si>
    <t>Hao hụt khi chiết rót</t>
  </si>
  <si>
    <t>(Giá vốn hàng bán)</t>
  </si>
  <si>
    <t>Vật tư vệ sinh (cồn khử khuẩn, xà phòng, cọ, găng tay,...)</t>
  </si>
  <si>
    <t>Khuyến mãi khai trương</t>
  </si>
  <si>
    <t>DỰ TOÁN BÁO CÁO LƯU CHUYỂN TIỀN TỆ</t>
  </si>
  <si>
    <t>CHI PHẢI KHẤU HAO TÀI SẢN CỐ ĐỊNH</t>
  </si>
  <si>
    <t>Ký hiệu và công thức</t>
  </si>
  <si>
    <t>Thời gian khấu hao 
(Năm)</t>
  </si>
  <si>
    <t>Tài sản</t>
  </si>
  <si>
    <t>(Hao hụt khi chiết rót) (3% giá vốn)</t>
  </si>
  <si>
    <t>DÒNG TIỀN TỪ HOẠT ĐỘNG KINH DOANH</t>
  </si>
  <si>
    <t>Trang thiết bị trạm RE-FILL</t>
  </si>
  <si>
    <t>Thu nhập ròng</t>
  </si>
  <si>
    <t>Lợi nhuận gộp</t>
  </si>
  <si>
    <t>Chi phí MARKETING</t>
  </si>
  <si>
    <t>Chi phí chung</t>
  </si>
  <si>
    <t>Lương nhân sự</t>
  </si>
  <si>
    <t>Chi phí Quảng cáo Facebook Ads / TikTok Ads</t>
  </si>
  <si>
    <t>50.000 đ / ngày</t>
  </si>
  <si>
    <t>50 ngày</t>
  </si>
  <si>
    <t>70 ngày</t>
  </si>
  <si>
    <t>90 ngày</t>
  </si>
  <si>
    <t>100 ngày</t>
  </si>
  <si>
    <t>110 ngày</t>
  </si>
  <si>
    <t>LINK</t>
  </si>
  <si>
    <t>Chi phí sản xuất nội dung (Video TikTok, Banner truyền thông)</t>
  </si>
  <si>
    <t>350.000 đ / video</t>
  </si>
  <si>
    <t>10 video</t>
  </si>
  <si>
    <t>11 video</t>
  </si>
  <si>
    <t>13 video</t>
  </si>
  <si>
    <t>14 video</t>
  </si>
  <si>
    <t>Thuê mặt bằng (2 trạm)</t>
  </si>
  <si>
    <t>Khấu hao ( giá trị dương)</t>
  </si>
  <si>
    <t>Tăng(giảm) các khoản phải thu</t>
  </si>
  <si>
    <t>Tăng (giảm) hàng tồn kho</t>
  </si>
  <si>
    <t>Tăng (giảm) các khoản phải trả</t>
  </si>
  <si>
    <t>Tăng (giảm) tiền công cần trả</t>
  </si>
  <si>
    <t>Lưu chuyển tiền thuần từ hoạt động kinh doanh</t>
  </si>
  <si>
    <t>7=1+2+3+4+5+6</t>
  </si>
  <si>
    <t>DÒNG TIỀN TỪ HOẠT ĐỘNG ĐẦU TƯ</t>
  </si>
  <si>
    <t>Mua sắm tài sản cố định</t>
  </si>
  <si>
    <t>Tăng (giảm) nguyên giá TSCĐ</t>
  </si>
  <si>
    <t>Lưu chuyển tiền thuần từ hoạt động đầu tư</t>
  </si>
  <si>
    <t>10=8+9</t>
  </si>
  <si>
    <t>DÒNG TIỀN TỪ HOẠT ĐỘNG TÀI CHÍNH</t>
  </si>
  <si>
    <t>Tăng (giảm) nợ vay</t>
  </si>
  <si>
    <t>Tăng (giảm) vốn góp của chủ sở hữu</t>
  </si>
  <si>
    <t>Chi trả lợi nhuận cho chủ sở hữu</t>
  </si>
  <si>
    <t>Lưu chuyển tiền thuần từ hoạt động tài chính</t>
  </si>
  <si>
    <t>14=11+12-13</t>
  </si>
  <si>
    <t>Lưu chuyển tiền thuần trong tháng</t>
  </si>
  <si>
    <t>15=7+10+14</t>
  </si>
  <si>
    <t>Tiền mặt đầu kỳ</t>
  </si>
  <si>
    <t>Tiền mặt cuối kỳ</t>
  </si>
  <si>
    <t>17=15+16</t>
  </si>
  <si>
    <t>Chi phí điện</t>
  </si>
  <si>
    <t>Chi phí nước</t>
  </si>
  <si>
    <t>Vật tư vệ sinh</t>
  </si>
  <si>
    <t>Chi phí quảng cáo Facebook/TikTok</t>
  </si>
  <si>
    <t>Chi phí sản xuất nội dung</t>
  </si>
  <si>
    <t>Chi phí khấu hao TSCĐ</t>
  </si>
  <si>
    <t>Chi phí khác (chưa có giả định)</t>
  </si>
  <si>
    <t>Tổng chi phí nhân sự</t>
  </si>
  <si>
    <t>Tổng chi phí mặt bằng và vận hành</t>
  </si>
  <si>
    <t>Tổng chi phí marketing</t>
  </si>
  <si>
    <t>Tổng chi phí khấu hao và khác</t>
  </si>
  <si>
    <t>Tổng chi phí hoạt động</t>
  </si>
  <si>
    <t>Lợi nhuận trước thuế</t>
  </si>
  <si>
    <t>Thuế thu nhập doanh nghiệp (xét miễn 3 năm đầu)</t>
  </si>
  <si>
    <t>Lợi nhuận ròng (LNST)</t>
  </si>
  <si>
    <t>Chú thích:</t>
  </si>
  <si>
    <t xml:space="preserve">1. Điều kiện áp dụng chính sách miễn Thuế TNDN: </t>
  </si>
  <si>
    <t xml:space="preserve"> https://chinhsachonline.chinhphu.vn/dieu-kien-ap-dung-chinh-sach-mien-thue-thu-nhap-doanh-nghiep-85100.htm</t>
  </si>
  <si>
    <t>2.  Theo Khoản 2 Điều 11 – Thuế suất TNDN:</t>
  </si>
  <si>
    <t>https://datafiles.chinhphu.vn/cpp/files/vbpq/2025/7/67qh.signed.pdf</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</si>
</sst>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 [$đ-42A]"/>
    <numFmt numFmtId="165" formatCode="&quot;THÁNG &quot;m-d"/>
    <numFmt numFmtId="166" formatCode="0.0"/>
    <numFmt numFmtId="167" formatCode="&quot;Tháng &quot;m-d"/>
  </numFmts>
  <fonts count="54">
    <font>
      <sz val="10.0"/>
      <color rgb="FF000000"/>
      <name val="Arial"/>
      <scheme val="minor"/>
    </font>
    <font>
      <sz val="13.0"/>
      <color theme="1"/>
      <name val="Times New Roman"/>
    </font>
    <font>
      <b/>
      <sz val="12.0"/>
      <color rgb="FFFFFFFF"/>
      <name val="Arial"/>
      <scheme val="minor"/>
    </font>
    <font>
      <b/>
      <sz val="13.0"/>
      <color rgb="FFFFFFFF"/>
      <name val="Times New Roman"/>
    </font>
    <font>
      <b/>
      <sz val="14.0"/>
      <color rgb="FFFFFFFF"/>
      <name val="&quot;Times New Roman&quot;"/>
    </font>
    <font/>
    <font>
      <b/>
      <sz val="13.0"/>
      <color rgb="FFFFFFFF"/>
      <name val="&quot;Times New Roman&quot;"/>
    </font>
    <font>
      <b/>
      <sz val="13.0"/>
      <color rgb="FF000000"/>
      <name val="&quot;Times New Roman&quot;"/>
    </font>
    <font>
      <sz val="13.0"/>
      <color rgb="FF000000"/>
      <name val="&quot;Times New Roman&quot;"/>
    </font>
    <font>
      <sz val="13.0"/>
      <color rgb="FFFFFFFF"/>
      <name val="Times New Roman"/>
    </font>
    <font>
      <b/>
      <sz val="13.0"/>
      <color theme="1"/>
      <name val="Times New Roman"/>
    </font>
    <font>
      <sz val="11.0"/>
      <color theme="1"/>
      <name val="Times New Roman"/>
    </font>
    <font>
      <b/>
      <sz val="13.0"/>
      <color rgb="FFFFFFFF"/>
      <name val="Arial"/>
      <scheme val="minor"/>
    </font>
    <font>
      <sz val="12.0"/>
      <color theme="1"/>
      <name val="Times New Roman"/>
    </font>
    <font>
      <sz val="13.0"/>
      <color theme="1"/>
      <name val="Arial"/>
    </font>
    <font>
      <color theme="1"/>
      <name val="Arial"/>
      <scheme val="minor"/>
    </font>
    <font>
      <sz val="13.0"/>
      <color theme="1"/>
      <name val="Arial"/>
      <scheme val="minor"/>
    </font>
    <font>
      <u/>
      <color rgb="FF0000FF"/>
    </font>
    <font>
      <sz val="10.0"/>
      <color theme="1"/>
      <name val="Arial"/>
    </font>
    <font>
      <u/>
      <sz val="13.0"/>
      <color rgb="FF0000FF"/>
      <name val="Times New Roman"/>
    </font>
    <font>
      <b/>
      <sz val="13.0"/>
      <color rgb="FF000000"/>
      <name val="Times New Roman"/>
    </font>
    <font>
      <sz val="13.0"/>
      <color rgb="FF000000"/>
      <name val="Times New Roman"/>
    </font>
    <font>
      <b/>
      <sz val="15.0"/>
      <color rgb="FF000000"/>
      <name val="Times New Roman"/>
    </font>
    <font>
      <b/>
      <sz val="14.0"/>
      <color rgb="FF000000"/>
      <name val="Arial"/>
    </font>
    <font>
      <sz val="15.0"/>
      <color rgb="FF000000"/>
      <name val="Times New Roman"/>
    </font>
    <font>
      <b/>
      <sz val="14.0"/>
      <color rgb="FFFFFFFF"/>
      <name val="Times New Roman"/>
    </font>
    <font>
      <sz val="14.0"/>
      <color theme="1"/>
      <name val="Times New Roman"/>
    </font>
    <font>
      <b/>
      <sz val="14.0"/>
      <color theme="1"/>
      <name val="Times New Roman"/>
    </font>
    <font>
      <color rgb="FF000000"/>
      <name val="Arial"/>
    </font>
    <font>
      <b/>
      <sz val="14.0"/>
      <color rgb="FF000000"/>
      <name val="Times New Roman"/>
    </font>
    <font>
      <sz val="14.0"/>
      <color rgb="FF000000"/>
      <name val="Times New Roman"/>
    </font>
    <font>
      <u/>
      <sz val="13.0"/>
      <color rgb="FF0000FF"/>
      <name val="Times New Roman"/>
    </font>
    <font>
      <u/>
      <sz val="14.0"/>
      <color rgb="FF0000FF"/>
      <name val="Times New Roman"/>
    </font>
    <font>
      <b/>
      <sz val="13.0"/>
      <color rgb="FFFF0000"/>
      <name val="Times New Roman"/>
    </font>
    <font>
      <strike/>
      <color theme="1"/>
      <name val="Arial"/>
      <scheme val="minor"/>
    </font>
    <font>
      <b/>
      <strike/>
      <sz val="13.0"/>
      <color theme="1"/>
      <name val="Times New Roman"/>
    </font>
    <font>
      <strike/>
      <sz val="13.0"/>
      <color theme="1"/>
      <name val="Times New Roman"/>
    </font>
    <font>
      <u/>
      <sz val="14.0"/>
      <color rgb="FF0000FF"/>
      <name val="Times New Roman"/>
    </font>
    <font>
      <b/>
      <sz val="14.0"/>
      <color rgb="FF000000"/>
      <name val="&quot;Times New Roman&quot;"/>
    </font>
    <font>
      <b/>
      <u/>
      <sz val="13.0"/>
      <color rgb="FF0000FF"/>
      <name val="Times New Roman"/>
    </font>
    <font>
      <u/>
      <sz val="14.0"/>
      <color rgb="FF0000FF"/>
      <name val="Times New Roman"/>
    </font>
    <font>
      <u/>
      <sz val="14.0"/>
      <color rgb="FF0000FF"/>
      <name val="Times New Roman"/>
    </font>
    <font>
      <u/>
      <sz val="13.0"/>
      <color rgb="FF1155CC"/>
      <name val="Times New Roman"/>
    </font>
    <font>
      <b/>
      <sz val="12.0"/>
      <color rgb="FFFFFFFF"/>
      <name val="Times New Roman"/>
    </font>
    <font>
      <b/>
      <sz val="12.0"/>
      <color rgb="FF000000"/>
      <name val="Times New Roman"/>
    </font>
    <font>
      <sz val="12.0"/>
      <color rgb="FF000000"/>
      <name val="Times New Roman"/>
    </font>
    <font>
      <sz val="14.0"/>
      <color rgb="FF000000"/>
      <name val="&quot;Times New Roman&quot;"/>
    </font>
    <font>
      <u/>
      <sz val="13.0"/>
      <color theme="1"/>
      <name val="Times New Roman"/>
    </font>
    <font>
      <sz val="13.0"/>
      <color rgb="FFFFFFFF"/>
      <name val="&quot;Times New Roman&quot;"/>
    </font>
    <font>
      <color rgb="FF666666"/>
      <name val="Arial"/>
      <scheme val="minor"/>
    </font>
    <font>
      <u/>
      <sz val="13.0"/>
      <color rgb="FF0000FF"/>
      <name val="Times New Roman"/>
    </font>
    <font>
      <b/>
      <sz val="15.0"/>
      <color theme="1"/>
      <name val="Times New Roman"/>
    </font>
    <font>
      <sz val="15.0"/>
      <color theme="1"/>
      <name val="Times New Roman"/>
    </font>
    <font>
      <u/>
      <sz val="15.0"/>
      <color rgb="FF0000FF"/>
      <name val="Times New Roman"/>
    </font>
  </fonts>
  <fills count="10">
    <fill>
      <patternFill patternType="none"/>
    </fill>
    <fill>
      <patternFill patternType="lightGray"/>
    </fill>
    <fill>
      <patternFill patternType="solid">
        <fgColor rgb="FF38761D"/>
        <bgColor rgb="FF38761D"/>
      </patternFill>
    </fill>
    <fill>
      <patternFill patternType="solid">
        <fgColor rgb="FFFFFFFF"/>
        <bgColor rgb="FFFFFFFF"/>
      </patternFill>
    </fill>
    <fill>
      <patternFill patternType="solid">
        <fgColor rgb="FFB6D7A8"/>
        <bgColor rgb="FFB6D7A8"/>
      </patternFill>
    </fill>
    <fill>
      <patternFill patternType="solid">
        <fgColor rgb="FFD9EAD3"/>
        <bgColor rgb="FFD9EAD3"/>
      </patternFill>
    </fill>
    <fill>
      <patternFill patternType="solid">
        <fgColor rgb="FF93C47D"/>
        <bgColor rgb="FF93C47D"/>
      </patternFill>
    </fill>
    <fill>
      <patternFill patternType="solid">
        <fgColor rgb="FFE2EFDA"/>
        <bgColor rgb="FFE2EFDA"/>
      </patternFill>
    </fill>
    <fill>
      <patternFill patternType="solid">
        <fgColor rgb="FFFFE599"/>
        <bgColor rgb="FFFFE599"/>
      </patternFill>
    </fill>
    <fill>
      <patternFill patternType="solid">
        <fgColor rgb="FFEA9999"/>
        <bgColor rgb="FFEA9999"/>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right style="thin">
        <color rgb="FF000000"/>
      </right>
      <top style="thin">
        <color rgb="FF000000"/>
      </top>
    </border>
    <border>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ttom style="thin">
        <color rgb="FF000000"/>
      </bottom>
    </border>
    <border>
      <left style="thin">
        <color rgb="FF000000"/>
      </left>
      <bottom style="thin">
        <color rgb="FF000000"/>
      </bottom>
    </border>
    <border>
      <top style="thin">
        <color rgb="FF000000"/>
      </top>
    </border>
    <border>
      <bottom style="thin">
        <color rgb="FF000000"/>
      </bottom>
    </border>
    <border>
      <left style="thin">
        <color rgb="FF000000"/>
      </left>
      <right style="thin">
        <color rgb="FF000000"/>
      </right>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0" fillId="3" fontId="1" numFmtId="0" xfId="0" applyFill="1" applyFont="1"/>
    <xf borderId="0" fillId="3" fontId="3" numFmtId="0" xfId="0" applyAlignment="1" applyFill="1" applyFont="1">
      <alignment horizontal="center" readingOrder="0" shrinkToFit="0" wrapText="1"/>
    </xf>
    <xf borderId="1" fillId="2" fontId="2" numFmtId="0" xfId="0" applyBorder="1" applyFill="1" applyFont="1"/>
    <xf borderId="2" fillId="2" fontId="4" numFmtId="0" xfId="0" applyAlignment="1" applyBorder="1" applyFill="1" applyFont="1">
      <alignment horizontal="center" readingOrder="0" shrinkToFit="0" vertical="center" wrapText="0"/>
    </xf>
    <xf borderId="3" fillId="0" fontId="5" numFmtId="0" xfId="0" applyBorder="1" applyFont="1"/>
    <xf borderId="1" fillId="2" fontId="2" numFmtId="0" xfId="0" applyAlignment="1" applyBorder="1" applyFill="1" applyFont="1">
      <alignment readingOrder="0"/>
    </xf>
    <xf borderId="4" fillId="2" fontId="6" numFmtId="0" xfId="0" applyAlignment="1" applyBorder="1" applyFill="1" applyFont="1">
      <alignment horizontal="center" readingOrder="0" shrinkToFit="0" vertical="bottom" wrapText="0"/>
    </xf>
    <xf borderId="2" fillId="2" fontId="6" numFmtId="0" xfId="0" applyAlignment="1" applyBorder="1" applyFill="1" applyFont="1">
      <alignment horizontal="center" readingOrder="0" shrinkToFit="0" wrapText="0"/>
    </xf>
    <xf borderId="0" fillId="0" fontId="1" numFmtId="0" xfId="0" applyFont="1"/>
    <xf borderId="5" fillId="0" fontId="5" numFmtId="0" xfId="0" applyBorder="1" applyFont="1"/>
    <xf borderId="7" fillId="2" fontId="4" numFmtId="0" xfId="0" applyAlignment="1" applyBorder="1" applyFill="1" applyFont="1">
      <alignment horizontal="center" readingOrder="0" shrinkToFit="0" vertical="center" wrapText="0"/>
    </xf>
    <xf borderId="6" fillId="0" fontId="1" numFmtId="0" xfId="0" applyAlignment="1" applyBorder="1" applyFont="1">
      <alignment readingOrder="0"/>
    </xf>
    <xf borderId="1" fillId="0" fontId="1" numFmtId="0" xfId="0" applyAlignment="1" applyBorder="1" applyFont="1">
      <alignment readingOrder="0"/>
    </xf>
    <xf borderId="4" fillId="0" fontId="5" numFmtId="0" xfId="0" applyBorder="1" applyFont="1"/>
    <xf borderId="1" fillId="4" fontId="7" numFmtId="0" xfId="0" applyAlignment="1" applyBorder="1" applyFill="1" applyFont="1">
      <alignment horizontal="center" readingOrder="0" shrinkToFit="0" wrapText="0"/>
    </xf>
    <xf borderId="4" fillId="0" fontId="1" numFmtId="0" xfId="0" applyAlignment="1" applyBorder="1" applyFont="1">
      <alignment vertical="bottom"/>
    </xf>
    <xf borderId="8" fillId="0" fontId="1" numFmtId="0" xfId="0" applyAlignment="1" applyBorder="1" applyFont="1">
      <alignment readingOrder="0"/>
    </xf>
    <xf borderId="9" fillId="0" fontId="5" numFmtId="0" xfId="0" applyBorder="1" applyFont="1"/>
    <xf borderId="10" fillId="0" fontId="5" numFmtId="0" xfId="0" applyBorder="1" applyFont="1"/>
    <xf borderId="8" fillId="0" fontId="5" numFmtId="0" xfId="0" applyBorder="1" applyFont="1"/>
    <xf borderId="11" fillId="0" fontId="5" numFmtId="0" xfId="0" applyBorder="1" applyFont="1"/>
    <xf borderId="8" fillId="0" fontId="1" numFmtId="0" xfId="0" applyAlignment="1" applyBorder="1" applyFont="1">
      <alignment vertical="bottom"/>
    </xf>
    <xf borderId="2" fillId="4" fontId="7" numFmtId="0" xfId="0" applyAlignment="1" applyBorder="1" applyFill="1" applyFont="1">
      <alignment horizontal="center" readingOrder="0" shrinkToFit="0" wrapText="0"/>
    </xf>
    <xf borderId="1" fillId="0" fontId="8" numFmtId="0" xfId="0" applyAlignment="1" applyBorder="1" applyFont="1">
      <alignment horizontal="left" readingOrder="0" shrinkToFit="0" wrapText="0"/>
    </xf>
    <xf borderId="12" fillId="0" fontId="5" numFmtId="0" xfId="0" applyBorder="1" applyFont="1"/>
    <xf borderId="1" fillId="0" fontId="1" numFmtId="0" xfId="0" applyBorder="1" applyFont="1"/>
    <xf borderId="11" fillId="0" fontId="1" numFmtId="0" xfId="0" applyAlignment="1" applyBorder="1" applyFont="1">
      <alignment vertical="bottom"/>
    </xf>
    <xf borderId="1" fillId="0" fontId="8" numFmtId="0" xfId="0" applyAlignment="1" applyBorder="1" applyFont="1">
      <alignment horizontal="right" readingOrder="0" shrinkToFit="0" wrapText="0"/>
    </xf>
    <xf borderId="2" fillId="2" fontId="4" numFmtId="0" xfId="0" applyAlignment="1" applyBorder="1" applyFill="1" applyFont="1">
      <alignment horizontal="center" readingOrder="0" shrinkToFit="0" wrapText="0"/>
    </xf>
    <xf borderId="2" fillId="0" fontId="8" numFmtId="0" xfId="0" applyAlignment="1" applyBorder="1" applyFont="1">
      <alignment horizontal="left" readingOrder="0" shrinkToFit="0" wrapText="0"/>
    </xf>
    <xf borderId="11" fillId="0" fontId="8" numFmtId="0" xfId="0" applyAlignment="1" applyBorder="1" applyFont="1">
      <alignment readingOrder="0" shrinkToFit="0" wrapText="0"/>
    </xf>
    <xf borderId="7" fillId="2" fontId="3" numFmtId="0" xfId="0" applyAlignment="1" applyBorder="1" applyFill="1" applyFont="1">
      <alignment horizontal="center" readingOrder="0" shrinkToFit="0" wrapText="1"/>
    </xf>
    <xf borderId="13" fillId="0" fontId="5" numFmtId="0" xfId="0" applyBorder="1" applyFont="1"/>
    <xf borderId="1" fillId="2" fontId="3" numFmtId="0" xfId="0" applyAlignment="1" applyBorder="1" applyFill="1" applyFont="1">
      <alignment horizontal="left" readingOrder="0" vertical="center"/>
    </xf>
    <xf borderId="14" fillId="0" fontId="5" numFmtId="0" xfId="0" applyBorder="1" applyFont="1"/>
    <xf borderId="1" fillId="0" fontId="8" numFmtId="9" xfId="0" applyAlignment="1" applyBorder="1" applyFont="1" applyNumberFormat="1">
      <alignment horizontal="right" readingOrder="0" shrinkToFit="0" wrapText="0"/>
    </xf>
    <xf borderId="1" fillId="2" fontId="9" numFmtId="0" xfId="0" applyAlignment="1" applyBorder="1" applyFill="1" applyFont="1">
      <alignment horizontal="left" vertical="center"/>
    </xf>
    <xf borderId="1" fillId="2" fontId="3" numFmtId="0" xfId="0" applyAlignment="1" applyBorder="1" applyFill="1" applyFont="1">
      <alignment horizontal="center" readingOrder="0" vertical="center"/>
    </xf>
    <xf borderId="1" fillId="2" fontId="3" numFmtId="0" xfId="0" applyAlignment="1" applyBorder="1" applyFill="1" applyFont="1">
      <alignment horizontal="center" readingOrder="0"/>
    </xf>
    <xf borderId="1" fillId="4" fontId="10" numFmtId="0" xfId="0" applyAlignment="1" applyBorder="1" applyFill="1" applyFont="1">
      <alignment horizontal="center" readingOrder="0" shrinkToFit="0" wrapText="1"/>
    </xf>
    <xf borderId="2" fillId="4" fontId="10" numFmtId="0" xfId="0" applyAlignment="1" applyBorder="1" applyFill="1" applyFont="1">
      <alignment horizontal="center" readingOrder="0" shrinkToFit="0" wrapText="1"/>
    </xf>
    <xf borderId="1" fillId="5" fontId="10" numFmtId="0" xfId="0" applyAlignment="1" applyBorder="1" applyFill="1" applyFont="1">
      <alignment horizontal="center" readingOrder="0" vertical="center"/>
    </xf>
    <xf borderId="1" fillId="4" fontId="10" numFmtId="0" xfId="0" applyAlignment="1" applyBorder="1" applyFill="1" applyFont="1">
      <alignment readingOrder="0"/>
    </xf>
    <xf borderId="1" fillId="5" fontId="10" numFmtId="0" xfId="0" applyAlignment="1" applyBorder="1" applyFill="1" applyFont="1">
      <alignment horizontal="left" readingOrder="0" vertical="center"/>
    </xf>
    <xf borderId="0" fillId="0" fontId="11" numFmtId="0" xfId="0" applyAlignment="1" applyFont="1">
      <alignment readingOrder="0"/>
    </xf>
    <xf borderId="1" fillId="0" fontId="1" numFmtId="0" xfId="0" applyAlignment="1" applyBorder="1" applyFont="1">
      <alignment horizontal="left" readingOrder="0" vertical="center"/>
    </xf>
    <xf borderId="1" fillId="0" fontId="1" numFmtId="0" xfId="0" applyAlignment="1" applyBorder="1" applyFont="1">
      <alignment horizontal="left" readingOrder="0" shrinkToFit="0" wrapText="1"/>
    </xf>
    <xf borderId="2" fillId="0" fontId="1" numFmtId="0" xfId="0" applyAlignment="1" applyBorder="1" applyFont="1">
      <alignment readingOrder="0" shrinkToFit="0" wrapText="1"/>
    </xf>
    <xf borderId="1" fillId="2" fontId="12" numFmtId="0" xfId="0" applyAlignment="1" applyBorder="1" applyFill="1" applyFont="1">
      <alignment horizontal="center" vertical="center"/>
    </xf>
    <xf borderId="1" fillId="2" fontId="12" numFmtId="0" xfId="0" applyAlignment="1" applyBorder="1" applyFill="1" applyFont="1">
      <alignment horizontal="center" readingOrder="0" vertical="center"/>
    </xf>
    <xf borderId="1" fillId="0" fontId="1" numFmtId="164" xfId="0" applyAlignment="1" applyBorder="1" applyFont="1" applyNumberFormat="1">
      <alignment horizontal="right" readingOrder="0" shrinkToFit="0" wrapText="1"/>
    </xf>
    <xf borderId="3" fillId="3" fontId="6" numFmtId="0" xfId="0" applyAlignment="1" applyBorder="1" applyFill="1" applyFont="1">
      <alignment horizontal="center" readingOrder="0" shrinkToFit="0" wrapText="0"/>
    </xf>
    <xf borderId="0" fillId="3" fontId="6" numFmtId="0" xfId="0" applyAlignment="1" applyFill="1" applyFont="1">
      <alignment horizontal="center" readingOrder="0" shrinkToFit="0" wrapText="0"/>
    </xf>
    <xf borderId="6" fillId="5" fontId="10" numFmtId="0" xfId="0" applyAlignment="1" applyBorder="1" applyFill="1" applyFont="1">
      <alignment horizontal="left" readingOrder="0" vertical="center"/>
    </xf>
    <xf borderId="1" fillId="0" fontId="10" numFmtId="0" xfId="0" applyAlignment="1" applyBorder="1" applyFont="1">
      <alignment readingOrder="0" vertical="center"/>
    </xf>
    <xf borderId="1" fillId="4" fontId="7" numFmtId="0" xfId="0" applyAlignment="1" applyBorder="1" applyFill="1" applyFont="1">
      <alignment horizontal="center" readingOrder="0"/>
    </xf>
    <xf borderId="1" fillId="0" fontId="1" numFmtId="0" xfId="0" applyAlignment="1" applyBorder="1" applyFont="1">
      <alignment readingOrder="0" vertical="center"/>
    </xf>
    <xf borderId="1" fillId="4" fontId="10" numFmtId="0" xfId="0" applyAlignment="1" applyBorder="1" applyFill="1" applyFont="1">
      <alignment horizontal="center" vertical="bottom"/>
    </xf>
    <xf borderId="0" fillId="3" fontId="10" numFmtId="0" xfId="0" applyAlignment="1" applyFill="1" applyFont="1">
      <alignment horizontal="center" vertical="bottom"/>
    </xf>
    <xf borderId="0" fillId="3" fontId="7" numFmtId="0" xfId="0" applyAlignment="1" applyFill="1" applyFont="1">
      <alignment horizontal="center" readingOrder="0"/>
    </xf>
    <xf borderId="1" fillId="0" fontId="1" numFmtId="164" xfId="0" applyAlignment="1" applyBorder="1" applyFont="1" applyNumberFormat="1">
      <alignment readingOrder="0"/>
    </xf>
    <xf borderId="1" fillId="0" fontId="13" numFmtId="164" xfId="0" applyAlignment="1" applyBorder="1" applyFont="1" applyNumberFormat="1">
      <alignment horizontal="center" readingOrder="0" vertical="bottom"/>
    </xf>
    <xf borderId="0" fillId="0" fontId="1" numFmtId="3" xfId="0" applyAlignment="1" applyFont="1" applyNumberFormat="1">
      <alignment readingOrder="0" shrinkToFit="0" wrapText="1"/>
    </xf>
    <xf borderId="1" fillId="0" fontId="13" numFmtId="164" xfId="0" applyAlignment="1" applyBorder="1" applyFont="1" applyNumberFormat="1">
      <alignment horizontal="right" readingOrder="0" vertical="bottom"/>
    </xf>
    <xf borderId="0" fillId="0" fontId="13" numFmtId="0" xfId="0" applyAlignment="1" applyFont="1">
      <alignment readingOrder="0"/>
    </xf>
    <xf borderId="0" fillId="3" fontId="8" numFmtId="0" xfId="0" applyAlignment="1" applyFill="1" applyFont="1">
      <alignment horizontal="right" readingOrder="0" shrinkToFit="0" wrapText="0"/>
    </xf>
    <xf borderId="0" fillId="0" fontId="14" numFmtId="164" xfId="0" applyAlignment="1" applyFont="1" applyNumberFormat="1">
      <alignment horizontal="center"/>
    </xf>
    <xf borderId="2" fillId="0" fontId="1" numFmtId="0" xfId="0" applyAlignment="1" applyBorder="1" applyFont="1">
      <alignment readingOrder="0" shrinkToFit="0" wrapText="1"/>
    </xf>
    <xf borderId="1" fillId="0" fontId="13" numFmtId="164" xfId="0" applyAlignment="1" applyBorder="1" applyFont="1" applyNumberFormat="1">
      <alignment horizontal="center" readingOrder="0"/>
    </xf>
    <xf borderId="0" fillId="0" fontId="15" numFmtId="3" xfId="0" applyAlignment="1" applyFont="1" applyNumberFormat="1">
      <alignment readingOrder="0"/>
    </xf>
    <xf borderId="1" fillId="0" fontId="16" numFmtId="164" xfId="0" applyAlignment="1" applyBorder="1" applyFont="1" applyNumberFormat="1">
      <alignment readingOrder="0"/>
    </xf>
    <xf borderId="1" fillId="0" fontId="13" numFmtId="164" xfId="0" applyAlignment="1" applyBorder="1" applyFont="1" applyNumberFormat="1">
      <alignment horizontal="center"/>
    </xf>
    <xf borderId="1" fillId="4" fontId="1" numFmtId="164" xfId="0" applyAlignment="1" applyBorder="1" applyFill="1" applyFont="1" applyNumberFormat="1">
      <alignment shrinkToFit="0" wrapText="1"/>
    </xf>
    <xf borderId="1" fillId="0" fontId="8" numFmtId="164" xfId="0" applyAlignment="1" applyBorder="1" applyFont="1" applyNumberFormat="1">
      <alignment horizontal="right" readingOrder="0" shrinkToFit="0" wrapText="0"/>
    </xf>
    <xf borderId="0" fillId="0" fontId="17" numFmtId="0" xfId="0" applyAlignment="1" applyFont="1">
      <alignment readingOrder="0"/>
    </xf>
    <xf borderId="1" fillId="4" fontId="1" numFmtId="164" xfId="0" applyBorder="1" applyFill="1" applyFont="1" applyNumberFormat="1"/>
    <xf borderId="0" fillId="0" fontId="1" numFmtId="0" xfId="0" applyAlignment="1" applyFont="1">
      <alignment horizontal="center"/>
    </xf>
    <xf borderId="0" fillId="0" fontId="18" numFmtId="164" xfId="0" applyAlignment="1" applyFont="1" applyNumberFormat="1">
      <alignment horizontal="center"/>
    </xf>
    <xf borderId="0" fillId="0" fontId="1" numFmtId="0" xfId="0" applyAlignment="1" applyFont="1">
      <alignment readingOrder="0"/>
    </xf>
    <xf borderId="2" fillId="2" fontId="3" numFmtId="0" xfId="0" applyAlignment="1" applyBorder="1" applyFill="1" applyFont="1">
      <alignment horizontal="center" readingOrder="0"/>
    </xf>
    <xf borderId="0" fillId="3" fontId="3" numFmtId="0" xfId="0" applyAlignment="1" applyFill="1" applyFont="1">
      <alignment horizontal="center" readingOrder="0"/>
    </xf>
    <xf borderId="1" fillId="0" fontId="13" numFmtId="164" xfId="0" applyBorder="1" applyFont="1" applyNumberFormat="1"/>
    <xf borderId="1" fillId="0" fontId="14" numFmtId="164" xfId="0" applyAlignment="1" applyBorder="1" applyFont="1" applyNumberFormat="1">
      <alignment horizontal="center" readingOrder="0" vertical="center"/>
    </xf>
    <xf borderId="1" fillId="4" fontId="10" numFmtId="0" xfId="0" applyAlignment="1" applyBorder="1" applyFill="1" applyFont="1">
      <alignment horizontal="center" readingOrder="0"/>
    </xf>
    <xf borderId="1" fillId="4" fontId="10" numFmtId="0" xfId="0" applyAlignment="1" applyBorder="1" applyFill="1" applyFont="1">
      <alignment readingOrder="0" shrinkToFit="0" wrapText="1"/>
    </xf>
    <xf borderId="0" fillId="0" fontId="16" numFmtId="0" xfId="0" applyFont="1"/>
    <xf borderId="1" fillId="0" fontId="1" numFmtId="0" xfId="0" applyAlignment="1" applyBorder="1" applyFont="1">
      <alignment horizontal="center" readingOrder="0" shrinkToFit="0" wrapText="1"/>
    </xf>
    <xf borderId="1" fillId="0" fontId="1" numFmtId="0" xfId="0" applyAlignment="1" applyBorder="1" applyFont="1">
      <alignment horizontal="right" readingOrder="0" shrinkToFit="0" wrapText="1"/>
    </xf>
    <xf borderId="1" fillId="4" fontId="7" numFmtId="0" xfId="0" applyAlignment="1" applyBorder="1" applyFill="1" applyFont="1">
      <alignment horizontal="left" readingOrder="0" shrinkToFit="0" wrapText="0"/>
    </xf>
    <xf borderId="1" fillId="4" fontId="7" numFmtId="0" xfId="0" applyAlignment="1" applyBorder="1" applyFill="1" applyFont="1">
      <alignment horizontal="right" readingOrder="0" shrinkToFit="0" wrapText="0"/>
    </xf>
    <xf borderId="0" fillId="0" fontId="18" numFmtId="164" xfId="0" applyAlignment="1" applyFont="1" applyNumberFormat="1">
      <alignment horizontal="center" readingOrder="0" vertical="center"/>
    </xf>
    <xf borderId="1" fillId="4" fontId="7" numFmtId="164" xfId="0" applyAlignment="1" applyBorder="1" applyFill="1" applyFont="1" applyNumberFormat="1">
      <alignment horizontal="right" readingOrder="0" shrinkToFit="0" wrapText="0"/>
    </xf>
    <xf borderId="1" fillId="0" fontId="19" numFmtId="0" xfId="0" applyAlignment="1" applyBorder="1" applyFont="1">
      <alignment horizontal="center" readingOrder="0" shrinkToFit="0" wrapText="1"/>
    </xf>
    <xf borderId="0" fillId="3" fontId="20" numFmtId="0" xfId="0" applyAlignment="1" applyFill="1" applyFont="1">
      <alignment horizontal="center" readingOrder="0"/>
    </xf>
    <xf borderId="0" fillId="3" fontId="1" numFmtId="0" xfId="0" applyAlignment="1" applyFill="1" applyFont="1">
      <alignment readingOrder="0"/>
    </xf>
    <xf borderId="1" fillId="0" fontId="8" numFmtId="10" xfId="0" applyAlignment="1" applyBorder="1" applyFont="1" applyNumberFormat="1">
      <alignment horizontal="right" readingOrder="0" shrinkToFit="0" wrapText="0"/>
    </xf>
    <xf borderId="0" fillId="3" fontId="21" numFmtId="0" xfId="0" applyAlignment="1" applyFill="1" applyFont="1">
      <alignment horizontal="center" readingOrder="0"/>
    </xf>
    <xf borderId="0" fillId="3" fontId="1" numFmtId="0" xfId="0" applyAlignment="1" applyFill="1" applyFont="1">
      <alignment readingOrder="0" shrinkToFit="0" wrapText="1"/>
    </xf>
    <xf borderId="1" fillId="0" fontId="15" numFmtId="0" xfId="0" applyBorder="1" applyFont="1"/>
    <xf borderId="0" fillId="3" fontId="21" numFmtId="164" xfId="0" applyAlignment="1" applyFill="1" applyFont="1" applyNumberFormat="1">
      <alignment horizontal="right" readingOrder="0"/>
    </xf>
    <xf borderId="0" fillId="3" fontId="21" numFmtId="0" xfId="0" applyAlignment="1" applyFill="1" applyFont="1">
      <alignment horizontal="right" readingOrder="0"/>
    </xf>
    <xf borderId="0" fillId="2" fontId="3" numFmtId="0" xfId="0" applyAlignment="1" applyFill="1" applyFont="1">
      <alignment horizontal="center" readingOrder="0"/>
    </xf>
    <xf borderId="0" fillId="3" fontId="10" numFmtId="0" xfId="0" applyAlignment="1" applyFill="1" applyFont="1">
      <alignment horizontal="center" readingOrder="0"/>
    </xf>
    <xf borderId="2" fillId="0" fontId="1" numFmtId="0" xfId="0" applyAlignment="1" applyBorder="1" applyFont="1">
      <alignment readingOrder="0"/>
    </xf>
    <xf borderId="1" fillId="4" fontId="1" numFmtId="164" xfId="0" applyAlignment="1" applyBorder="1" applyFill="1" applyFont="1" applyNumberFormat="1">
      <alignment horizontal="right" shrinkToFit="0" wrapText="1"/>
    </xf>
    <xf borderId="2" fillId="6" fontId="22" numFmtId="0" xfId="0" applyAlignment="1" applyBorder="1" applyFill="1" applyFont="1">
      <alignment horizontal="center" readingOrder="0" shrinkToFit="0" vertical="bottom" wrapText="0"/>
    </xf>
    <xf borderId="1" fillId="4" fontId="1" numFmtId="0" xfId="0" applyAlignment="1" applyBorder="1" applyFill="1" applyFont="1">
      <alignment shrinkToFit="0" wrapText="1"/>
    </xf>
    <xf borderId="0" fillId="3" fontId="21" numFmtId="0" xfId="0" applyAlignment="1" applyFill="1" applyFont="1">
      <alignment horizontal="center" readingOrder="0" shrinkToFit="0" wrapText="1"/>
    </xf>
    <xf borderId="0" fillId="3" fontId="23" numFmtId="0" xfId="0" applyAlignment="1" applyFill="1" applyFont="1">
      <alignment horizontal="center" readingOrder="0" shrinkToFit="0" vertical="bottom" wrapText="0"/>
    </xf>
    <xf borderId="0" fillId="3" fontId="20" numFmtId="0" xfId="0" applyAlignment="1" applyFill="1" applyFont="1">
      <alignment horizontal="right" readingOrder="0"/>
    </xf>
    <xf borderId="0" fillId="3" fontId="20" numFmtId="0" xfId="0" applyFill="1" applyFont="1"/>
    <xf borderId="2" fillId="3" fontId="24" numFmtId="0" xfId="0" applyAlignment="1" applyBorder="1" applyFill="1" applyFont="1">
      <alignment horizontal="left" readingOrder="0" shrinkToFit="0" vertical="bottom" wrapText="0"/>
    </xf>
    <xf borderId="1" fillId="0" fontId="7" numFmtId="0" xfId="0" applyAlignment="1" applyBorder="1" applyFont="1">
      <alignment horizontal="right" readingOrder="0" shrinkToFit="0" wrapText="0"/>
    </xf>
    <xf borderId="2" fillId="2" fontId="25" numFmtId="0" xfId="0" applyAlignment="1" applyBorder="1" applyFill="1" applyFont="1">
      <alignment horizontal="center" vertical="bottom"/>
    </xf>
    <xf borderId="0" fillId="0" fontId="26" numFmtId="0" xfId="0" applyAlignment="1" applyFont="1">
      <alignment readingOrder="0" shrinkToFit="0" wrapText="1"/>
    </xf>
    <xf borderId="1" fillId="4" fontId="27" numFmtId="0" xfId="0" applyAlignment="1" applyBorder="1" applyFill="1" applyFont="1">
      <alignment horizontal="center" vertical="bottom"/>
    </xf>
    <xf borderId="0" fillId="3" fontId="28" numFmtId="0" xfId="0" applyAlignment="1" applyFill="1" applyFont="1">
      <alignment shrinkToFit="0" vertical="bottom" wrapText="0"/>
    </xf>
    <xf borderId="1" fillId="4" fontId="27" numFmtId="0" xfId="0" applyAlignment="1" applyBorder="1" applyFill="1" applyFont="1">
      <alignment horizontal="center" readingOrder="0" vertical="bottom"/>
    </xf>
    <xf borderId="1" fillId="3" fontId="24" numFmtId="0" xfId="0" applyAlignment="1" applyBorder="1" applyFill="1" applyFont="1">
      <alignment horizontal="left" readingOrder="0" shrinkToFit="0" vertical="bottom" wrapText="0"/>
    </xf>
    <xf borderId="1" fillId="3" fontId="24" numFmtId="10" xfId="0" applyAlignment="1" applyBorder="1" applyFill="1" applyFont="1" applyNumberFormat="1">
      <alignment horizontal="right" readingOrder="0" shrinkToFit="0" vertical="bottom" wrapText="0"/>
    </xf>
    <xf borderId="1" fillId="0" fontId="26" numFmtId="0" xfId="0" applyAlignment="1" applyBorder="1" applyFont="1">
      <alignment horizontal="center" vertical="bottom"/>
    </xf>
    <xf borderId="1" fillId="0" fontId="26" numFmtId="0" xfId="0" applyAlignment="1" applyBorder="1" applyFont="1">
      <alignment readingOrder="0"/>
    </xf>
    <xf borderId="0" fillId="0" fontId="15" numFmtId="0" xfId="0" applyAlignment="1" applyFont="1">
      <alignment readingOrder="0"/>
    </xf>
    <xf borderId="1" fillId="0" fontId="26" numFmtId="164" xfId="0" applyAlignment="1" applyBorder="1" applyFont="1" applyNumberFormat="1">
      <alignment horizontal="right" readingOrder="0" vertical="bottom"/>
    </xf>
    <xf borderId="1" fillId="0" fontId="26" numFmtId="0" xfId="0" applyAlignment="1" applyBorder="1" applyFont="1">
      <alignment horizontal="center" readingOrder="0" vertical="bottom"/>
    </xf>
    <xf borderId="1" fillId="0" fontId="7" numFmtId="164" xfId="0" applyAlignment="1" applyBorder="1" applyFont="1" applyNumberFormat="1">
      <alignment horizontal="right" readingOrder="0" shrinkToFit="0" wrapText="0"/>
    </xf>
    <xf borderId="1" fillId="6" fontId="29" numFmtId="0" xfId="0" applyAlignment="1" applyBorder="1" applyFill="1" applyFont="1">
      <alignment horizontal="center" readingOrder="0" shrinkToFit="0" vertical="bottom" wrapText="0"/>
    </xf>
    <xf borderId="1" fillId="3" fontId="30" numFmtId="0" xfId="0" applyAlignment="1" applyBorder="1" applyFill="1" applyFont="1">
      <alignment horizontal="left" readingOrder="0" shrinkToFit="0" vertical="bottom" wrapText="0"/>
    </xf>
    <xf borderId="1" fillId="0" fontId="31" numFmtId="0" xfId="0" applyAlignment="1" applyBorder="1" applyFont="1">
      <alignment readingOrder="0"/>
    </xf>
    <xf borderId="1" fillId="0" fontId="32" numFmtId="0" xfId="0" applyAlignment="1" applyBorder="1" applyFont="1">
      <alignment horizontal="center" readingOrder="0"/>
    </xf>
    <xf borderId="0" fillId="0" fontId="33" numFmtId="0" xfId="0" applyAlignment="1" applyFont="1">
      <alignment horizontal="center" readingOrder="0" shrinkToFit="0" wrapText="1"/>
    </xf>
    <xf borderId="1" fillId="4" fontId="20" numFmtId="0" xfId="0" applyAlignment="1" applyBorder="1" applyFill="1" applyFont="1">
      <alignment horizontal="center" readingOrder="0"/>
    </xf>
    <xf borderId="1" fillId="3" fontId="30" numFmtId="3" xfId="0" applyAlignment="1" applyBorder="1" applyFill="1" applyFont="1" applyNumberFormat="1">
      <alignment horizontal="right" readingOrder="0" shrinkToFit="0" vertical="bottom" wrapText="0"/>
    </xf>
    <xf borderId="1" fillId="3" fontId="30" numFmtId="0" xfId="0" applyAlignment="1" applyBorder="1" applyFill="1" applyFont="1">
      <alignment horizontal="left" readingOrder="0"/>
    </xf>
    <xf borderId="0" fillId="0" fontId="34" numFmtId="0" xfId="0" applyFont="1"/>
    <xf borderId="1" fillId="0" fontId="26" numFmtId="164" xfId="0" applyAlignment="1" applyBorder="1" applyFont="1" applyNumberFormat="1">
      <alignment horizontal="right" vertical="bottom"/>
    </xf>
    <xf borderId="1" fillId="5" fontId="35" numFmtId="0" xfId="0" applyAlignment="1" applyBorder="1" applyFill="1" applyFont="1">
      <alignment horizontal="left" readingOrder="0" vertical="center"/>
    </xf>
    <xf borderId="1" fillId="0" fontId="36" numFmtId="0" xfId="0" applyAlignment="1" applyBorder="1" applyFont="1">
      <alignment horizontal="left" readingOrder="0" vertical="center"/>
    </xf>
    <xf borderId="1" fillId="0" fontId="36" numFmtId="0" xfId="0" applyBorder="1" applyFont="1"/>
    <xf borderId="1" fillId="0" fontId="18" numFmtId="164" xfId="0" applyAlignment="1" applyBorder="1" applyFont="1" applyNumberFormat="1">
      <alignment horizontal="center"/>
    </xf>
    <xf borderId="1" fillId="0" fontId="18" numFmtId="164" xfId="0" applyAlignment="1" applyBorder="1" applyFont="1" applyNumberFormat="1">
      <alignment horizontal="center" readingOrder="0" vertical="center"/>
    </xf>
    <xf borderId="1" fillId="0" fontId="37" numFmtId="0" xfId="0" applyAlignment="1" applyBorder="1" applyFont="1">
      <alignment horizontal="center" readingOrder="0" vertical="bottom"/>
    </xf>
    <xf borderId="1" fillId="0" fontId="21" numFmtId="0" xfId="0" applyAlignment="1" applyBorder="1" applyFont="1">
      <alignment horizontal="center" readingOrder="0"/>
    </xf>
    <xf borderId="1" fillId="0" fontId="21" numFmtId="0" xfId="0" applyAlignment="1" applyBorder="1" applyFont="1">
      <alignment readingOrder="0"/>
    </xf>
    <xf borderId="1" fillId="0" fontId="21" numFmtId="164" xfId="0" applyAlignment="1" applyBorder="1" applyFont="1" applyNumberFormat="1">
      <alignment horizontal="right" readingOrder="0"/>
    </xf>
    <xf borderId="1" fillId="0" fontId="1" numFmtId="0" xfId="0" applyAlignment="1" applyBorder="1" applyFont="1">
      <alignment horizontal="center" readingOrder="0"/>
    </xf>
    <xf borderId="6" fillId="5" fontId="10" numFmtId="0" xfId="0" applyAlignment="1" applyBorder="1" applyFill="1" applyFont="1">
      <alignment horizontal="center" readingOrder="0" vertical="center"/>
    </xf>
    <xf borderId="15" fillId="7" fontId="38" numFmtId="0" xfId="0" applyAlignment="1" applyBorder="1" applyFill="1" applyFont="1">
      <alignment horizontal="left" readingOrder="0" shrinkToFit="0" wrapText="0"/>
    </xf>
    <xf borderId="6" fillId="0" fontId="8" numFmtId="0" xfId="0" applyAlignment="1" applyBorder="1" applyFont="1">
      <alignment readingOrder="0"/>
    </xf>
    <xf borderId="1" fillId="0" fontId="39" numFmtId="0" xfId="0" applyAlignment="1" applyBorder="1" applyFont="1">
      <alignment horizontal="center" readingOrder="0"/>
    </xf>
    <xf borderId="1" fillId="7" fontId="38" numFmtId="0" xfId="0" applyAlignment="1" applyBorder="1" applyFill="1" applyFont="1">
      <alignment horizontal="left" readingOrder="0" shrinkToFit="0" wrapText="0"/>
    </xf>
    <xf borderId="1" fillId="0" fontId="8" numFmtId="0" xfId="0" applyAlignment="1" applyBorder="1" applyFont="1">
      <alignment readingOrder="0"/>
    </xf>
    <xf borderId="1" fillId="3" fontId="26" numFmtId="0" xfId="0" applyAlignment="1" applyBorder="1" applyFill="1" applyFont="1">
      <alignment horizontal="center" readingOrder="0" vertical="bottom"/>
    </xf>
    <xf borderId="1" fillId="0" fontId="26" numFmtId="0" xfId="0" applyAlignment="1" applyBorder="1" applyFont="1">
      <alignment readingOrder="0" shrinkToFit="0" wrapText="1"/>
    </xf>
    <xf borderId="1" fillId="3" fontId="26" numFmtId="164" xfId="0" applyAlignment="1" applyBorder="1" applyFill="1" applyFont="1" applyNumberFormat="1">
      <alignment horizontal="right" readingOrder="0" vertical="bottom"/>
    </xf>
    <xf borderId="1" fillId="4" fontId="29" numFmtId="0" xfId="0" applyAlignment="1" applyBorder="1" applyFill="1" applyFont="1">
      <alignment horizontal="left" readingOrder="0" shrinkToFit="0" vertical="bottom" wrapText="0"/>
    </xf>
    <xf borderId="15" fillId="0" fontId="8" numFmtId="0" xfId="0" applyAlignment="1" applyBorder="1" applyFont="1">
      <alignment horizontal="left" readingOrder="0"/>
    </xf>
    <xf borderId="1" fillId="3" fontId="26" numFmtId="164" xfId="0" applyAlignment="1" applyBorder="1" applyFill="1" applyFont="1" applyNumberFormat="1">
      <alignment horizontal="right" vertical="bottom"/>
    </xf>
    <xf borderId="15" fillId="0" fontId="5" numFmtId="0" xfId="0" applyBorder="1" applyFont="1"/>
    <xf borderId="1" fillId="4" fontId="29" numFmtId="3" xfId="0" applyAlignment="1" applyBorder="1" applyFill="1" applyFont="1" applyNumberFormat="1">
      <alignment horizontal="right" readingOrder="0" shrinkToFit="0" vertical="bottom" wrapText="0"/>
    </xf>
    <xf borderId="1" fillId="3" fontId="30" numFmtId="10" xfId="0" applyAlignment="1" applyBorder="1" applyFill="1" applyFont="1" applyNumberFormat="1">
      <alignment horizontal="right" readingOrder="0" shrinkToFit="0" vertical="bottom" wrapText="0"/>
    </xf>
    <xf borderId="1" fillId="3" fontId="40" numFmtId="0" xfId="0" applyAlignment="1" applyBorder="1" applyFill="1" applyFont="1">
      <alignment horizontal="center" readingOrder="0" vertical="bottom"/>
    </xf>
    <xf borderId="0" fillId="3" fontId="26" numFmtId="0" xfId="0" applyAlignment="1" applyFill="1" applyFont="1">
      <alignment readingOrder="0" shrinkToFit="0" wrapText="1"/>
    </xf>
    <xf borderId="1" fillId="3" fontId="30" numFmtId="164" xfId="0" applyAlignment="1" applyBorder="1" applyFill="1" applyFont="1" applyNumberFormat="1">
      <alignment horizontal="right" readingOrder="0"/>
    </xf>
    <xf borderId="1" fillId="0" fontId="30" numFmtId="164" xfId="0" applyAlignment="1" applyBorder="1" applyFont="1" applyNumberFormat="1">
      <alignment horizontal="right" readingOrder="0"/>
    </xf>
    <xf borderId="1" fillId="0" fontId="30" numFmtId="0" xfId="0" applyAlignment="1" applyBorder="1" applyFont="1">
      <alignment horizontal="center" readingOrder="0"/>
    </xf>
    <xf borderId="1" fillId="3" fontId="41" numFmtId="0" xfId="0" applyAlignment="1" applyBorder="1" applyFill="1" applyFont="1">
      <alignment horizontal="center" readingOrder="0"/>
    </xf>
    <xf borderId="1" fillId="0" fontId="26" numFmtId="0" xfId="0" applyAlignment="1" applyBorder="1" applyFont="1">
      <alignment horizontal="left" readingOrder="0" shrinkToFit="0" vertical="bottom" wrapText="1"/>
    </xf>
    <xf borderId="1" fillId="3" fontId="30" numFmtId="0" xfId="0" applyAlignment="1" applyBorder="1" applyFill="1" applyFont="1">
      <alignment horizontal="right" readingOrder="0" shrinkToFit="0" vertical="bottom" wrapText="0"/>
    </xf>
    <xf borderId="1" fillId="0" fontId="10" numFmtId="0" xfId="0" applyAlignment="1" applyBorder="1" applyFont="1">
      <alignment horizontal="center" readingOrder="0"/>
    </xf>
    <xf borderId="1" fillId="0" fontId="26" numFmtId="0" xfId="0" applyAlignment="1" applyBorder="1" applyFont="1">
      <alignment horizontal="left" readingOrder="0" shrinkToFit="0" wrapText="1"/>
    </xf>
    <xf borderId="1" fillId="0" fontId="8" numFmtId="1" xfId="0" applyAlignment="1" applyBorder="1" applyFont="1" applyNumberFormat="1">
      <alignment horizontal="right" readingOrder="0" shrinkToFit="0" wrapText="0"/>
    </xf>
    <xf borderId="2" fillId="4" fontId="20" numFmtId="0" xfId="0" applyAlignment="1" applyBorder="1" applyFill="1" applyFont="1">
      <alignment horizontal="center" readingOrder="0" vertical="center"/>
    </xf>
    <xf borderId="1" fillId="4" fontId="20" numFmtId="164" xfId="0" applyAlignment="1" applyBorder="1" applyFill="1" applyFont="1" applyNumberFormat="1">
      <alignment horizontal="right" readingOrder="0"/>
    </xf>
    <xf borderId="1" fillId="4" fontId="20" numFmtId="0" xfId="0" applyBorder="1" applyFill="1" applyFont="1"/>
    <xf borderId="0" fillId="3" fontId="21" numFmtId="0" xfId="0" applyAlignment="1" applyFill="1" applyFont="1">
      <alignment readingOrder="0"/>
    </xf>
    <xf borderId="7" fillId="4" fontId="27" numFmtId="0" xfId="0" applyAlignment="1" applyBorder="1" applyFill="1" applyFont="1">
      <alignment horizontal="center" vertical="bottom"/>
    </xf>
    <xf borderId="6" fillId="4" fontId="27" numFmtId="164" xfId="0" applyAlignment="1" applyBorder="1" applyFill="1" applyFont="1" applyNumberFormat="1">
      <alignment horizontal="center" vertical="bottom"/>
    </xf>
    <xf borderId="6" fillId="4" fontId="26" numFmtId="0" xfId="0" applyAlignment="1" applyBorder="1" applyFill="1" applyFont="1">
      <alignment horizontal="center" vertical="bottom"/>
    </xf>
    <xf borderId="0" fillId="3" fontId="21" numFmtId="165" xfId="0" applyAlignment="1" applyFill="1" applyFont="1" applyNumberFormat="1">
      <alignment readingOrder="0"/>
    </xf>
    <xf borderId="0" fillId="2" fontId="9" numFmtId="165" xfId="0" applyAlignment="1" applyFill="1" applyFont="1" applyNumberFormat="1">
      <alignment readingOrder="0"/>
    </xf>
    <xf borderId="0" fillId="4" fontId="21" numFmtId="0" xfId="0" applyAlignment="1" applyFill="1" applyFont="1">
      <alignment horizontal="center" readingOrder="0"/>
    </xf>
    <xf borderId="0" fillId="4" fontId="21" numFmtId="164" xfId="0" applyAlignment="1" applyFill="1" applyFont="1" applyNumberFormat="1">
      <alignment horizontal="right" readingOrder="0"/>
    </xf>
    <xf borderId="13" fillId="3" fontId="27" numFmtId="0" xfId="0" applyAlignment="1" applyBorder="1" applyFill="1" applyFont="1">
      <alignment horizontal="center" vertical="bottom"/>
    </xf>
    <xf borderId="13" fillId="3" fontId="27" numFmtId="164" xfId="0" applyAlignment="1" applyBorder="1" applyFill="1" applyFont="1" applyNumberFormat="1">
      <alignment horizontal="center" vertical="bottom"/>
    </xf>
    <xf borderId="13" fillId="3" fontId="26" numFmtId="0" xfId="0" applyAlignment="1" applyBorder="1" applyFill="1" applyFont="1">
      <alignment horizontal="center" vertical="bottom"/>
    </xf>
    <xf borderId="0" fillId="0" fontId="16" numFmtId="0" xfId="0" applyAlignment="1" applyFont="1">
      <alignment horizontal="center"/>
    </xf>
    <xf borderId="2" fillId="2" fontId="3" numFmtId="0" xfId="0" applyAlignment="1" applyBorder="1" applyFill="1" applyFont="1">
      <alignment horizontal="center" readingOrder="0" vertical="bottom"/>
    </xf>
    <xf borderId="1" fillId="0" fontId="10" numFmtId="0" xfId="0" applyAlignment="1" applyBorder="1" applyFont="1">
      <alignment horizontal="center" vertical="bottom"/>
    </xf>
    <xf borderId="1" fillId="0" fontId="1" numFmtId="0" xfId="0" applyAlignment="1" applyBorder="1" applyFont="1">
      <alignment readingOrder="0" vertical="bottom"/>
    </xf>
    <xf borderId="1" fillId="0" fontId="1" numFmtId="0" xfId="0" applyAlignment="1" applyBorder="1" applyFont="1">
      <alignment vertical="bottom"/>
    </xf>
    <xf borderId="1" fillId="0" fontId="1" numFmtId="0" xfId="0" applyAlignment="1" applyBorder="1" applyFont="1">
      <alignment vertical="bottom"/>
    </xf>
    <xf borderId="1" fillId="0" fontId="42" numFmtId="0" xfId="0" applyAlignment="1" applyBorder="1" applyFont="1">
      <alignment horizontal="center" vertical="bottom"/>
    </xf>
    <xf borderId="0" fillId="3" fontId="1" numFmtId="0" xfId="0" applyAlignment="1" applyFill="1" applyFont="1">
      <alignment horizontal="center" readingOrder="0"/>
    </xf>
    <xf borderId="1" fillId="0" fontId="1" numFmtId="0" xfId="0" applyAlignment="1" applyBorder="1" applyFont="1">
      <alignment horizontal="center" vertical="bottom"/>
    </xf>
    <xf borderId="1" fillId="0" fontId="1" numFmtId="3" xfId="0" applyAlignment="1" applyBorder="1" applyFont="1" applyNumberFormat="1">
      <alignment horizontal="right" readingOrder="0" vertical="bottom"/>
    </xf>
    <xf borderId="1" fillId="0" fontId="8" numFmtId="166" xfId="0" applyAlignment="1" applyBorder="1" applyFont="1" applyNumberFormat="1">
      <alignment horizontal="right" readingOrder="0" shrinkToFit="0" wrapText="0"/>
    </xf>
    <xf borderId="1" fillId="0" fontId="1" numFmtId="3" xfId="0" applyAlignment="1" applyBorder="1" applyFont="1" applyNumberFormat="1">
      <alignment horizontal="right" vertical="bottom"/>
    </xf>
    <xf borderId="1" fillId="0" fontId="1" numFmtId="0" xfId="0" applyAlignment="1" applyBorder="1" applyFont="1">
      <alignment horizontal="center" vertical="bottom"/>
    </xf>
    <xf borderId="1" fillId="0" fontId="8" numFmtId="0" xfId="0" applyAlignment="1" applyBorder="1" applyFont="1">
      <alignment horizontal="right" shrinkToFit="0" wrapText="0"/>
    </xf>
    <xf borderId="0" fillId="3" fontId="10" numFmtId="0" xfId="0" applyAlignment="1" applyFill="1" applyFont="1">
      <alignment horizontal="center" readingOrder="0"/>
    </xf>
    <xf borderId="1" fillId="0" fontId="10" numFmtId="0" xfId="0" applyAlignment="1" applyBorder="1" applyFont="1">
      <alignment horizontal="center" vertical="bottom"/>
    </xf>
    <xf borderId="0" fillId="0" fontId="21" numFmtId="0" xfId="0" applyAlignment="1" applyFont="1">
      <alignment shrinkToFit="0" vertical="bottom" wrapText="0"/>
    </xf>
    <xf borderId="1" fillId="0" fontId="1" numFmtId="0" xfId="0" applyAlignment="1" applyBorder="1" applyFont="1">
      <alignment horizontal="center" readingOrder="0" vertical="bottom"/>
    </xf>
    <xf borderId="2" fillId="2" fontId="43" numFmtId="0" xfId="0" applyAlignment="1" applyBorder="1" applyFill="1" applyFont="1">
      <alignment horizontal="center" readingOrder="0" shrinkToFit="0" vertical="bottom" wrapText="0"/>
    </xf>
    <xf borderId="1" fillId="0" fontId="1" numFmtId="3" xfId="0" applyBorder="1" applyFont="1" applyNumberFormat="1"/>
    <xf borderId="0" fillId="0" fontId="9" numFmtId="0" xfId="0" applyAlignment="1" applyFont="1">
      <alignment shrinkToFit="0" wrapText="0"/>
    </xf>
    <xf borderId="0" fillId="0" fontId="9" numFmtId="0" xfId="0" applyAlignment="1" applyFont="1">
      <alignment shrinkToFit="0" vertical="bottom" wrapText="0"/>
    </xf>
    <xf borderId="1" fillId="4" fontId="44" numFmtId="0" xfId="0" applyAlignment="1" applyBorder="1" applyFill="1" applyFont="1">
      <alignment horizontal="left" shrinkToFit="0" vertical="bottom" wrapText="0"/>
    </xf>
    <xf borderId="0" fillId="0" fontId="9" numFmtId="0" xfId="0" applyFont="1"/>
    <xf borderId="1" fillId="4" fontId="44" numFmtId="0" xfId="0" applyAlignment="1" applyBorder="1" applyFill="1" applyFont="1">
      <alignment horizontal="center" readingOrder="0" shrinkToFit="0" vertical="bottom" wrapText="0"/>
    </xf>
    <xf borderId="0" fillId="0" fontId="10" numFmtId="0" xfId="0" applyAlignment="1" applyFont="1">
      <alignment horizontal="center" readingOrder="0"/>
    </xf>
    <xf borderId="0" fillId="0" fontId="3" numFmtId="0" xfId="0" applyAlignment="1" applyFont="1">
      <alignment horizontal="center" readingOrder="0"/>
    </xf>
    <xf borderId="1" fillId="4" fontId="44" numFmtId="0" xfId="0" applyAlignment="1" applyBorder="1" applyFill="1" applyFont="1">
      <alignment horizontal="left" readingOrder="0" shrinkToFit="0" vertical="bottom" wrapText="0"/>
    </xf>
    <xf borderId="1" fillId="4" fontId="45" numFmtId="164" xfId="0" applyAlignment="1" applyBorder="1" applyFill="1" applyFont="1" applyNumberFormat="1">
      <alignment horizontal="right" readingOrder="0" shrinkToFit="0" vertical="bottom" wrapText="0"/>
    </xf>
    <xf borderId="1" fillId="2" fontId="6" numFmtId="0" xfId="0" applyAlignment="1" applyBorder="1" applyFill="1" applyFont="1">
      <alignment horizontal="left" readingOrder="0" shrinkToFit="0" wrapText="0"/>
    </xf>
    <xf borderId="1" fillId="2" fontId="6" numFmtId="0" xfId="0" applyAlignment="1" applyBorder="1" applyFill="1" applyFont="1">
      <alignment horizontal="right" shrinkToFit="0" wrapText="0"/>
    </xf>
    <xf borderId="1" fillId="0" fontId="1" numFmtId="164" xfId="0" applyAlignment="1" applyBorder="1" applyFont="1" applyNumberFormat="1">
      <alignment horizontal="right" readingOrder="0"/>
    </xf>
    <xf borderId="1" fillId="7" fontId="8" numFmtId="0" xfId="0" applyAlignment="1" applyBorder="1" applyFill="1" applyFont="1">
      <alignment horizontal="right" shrinkToFit="0" wrapText="0"/>
    </xf>
    <xf borderId="8" fillId="0" fontId="15" numFmtId="0" xfId="0" applyBorder="1" applyFont="1"/>
    <xf borderId="1" fillId="0" fontId="46" numFmtId="0" xfId="0" applyAlignment="1" applyBorder="1" applyFont="1">
      <alignment horizontal="center" readingOrder="0" shrinkToFit="0" wrapText="0"/>
    </xf>
    <xf borderId="2" fillId="4" fontId="10" numFmtId="0" xfId="0" applyAlignment="1" applyBorder="1" applyFill="1" applyFont="1">
      <alignment horizontal="center" vertical="bottom"/>
    </xf>
    <xf borderId="1" fillId="4" fontId="10" numFmtId="3" xfId="0" applyAlignment="1" applyBorder="1" applyFill="1" applyFont="1" applyNumberFormat="1">
      <alignment horizontal="right" vertical="bottom"/>
    </xf>
    <xf borderId="1" fillId="0" fontId="8" numFmtId="0" xfId="0" applyAlignment="1" applyBorder="1" applyFont="1">
      <alignment horizontal="center" readingOrder="0" shrinkToFit="0" wrapText="0"/>
    </xf>
    <xf borderId="1" fillId="3" fontId="8" numFmtId="0" xfId="0" applyAlignment="1" applyBorder="1" applyFill="1" applyFont="1">
      <alignment horizontal="left" readingOrder="0" shrinkToFit="0" wrapText="0"/>
    </xf>
    <xf borderId="1" fillId="3" fontId="8" numFmtId="0" xfId="0" applyAlignment="1" applyBorder="1" applyFill="1" applyFont="1">
      <alignment horizontal="center" readingOrder="0" shrinkToFit="0" wrapText="0"/>
    </xf>
    <xf borderId="1" fillId="3" fontId="30" numFmtId="9" xfId="0" applyAlignment="1" applyBorder="1" applyFill="1" applyFont="1" applyNumberFormat="1">
      <alignment horizontal="right" readingOrder="0" shrinkToFit="0" vertical="bottom" wrapText="0"/>
    </xf>
    <xf borderId="1" fillId="3" fontId="8" numFmtId="0" xfId="0" applyAlignment="1" applyBorder="1" applyFill="1" applyFont="1">
      <alignment horizontal="right" shrinkToFit="0" wrapText="0"/>
    </xf>
    <xf borderId="1" fillId="3" fontId="8" numFmtId="0" xfId="0" applyAlignment="1" applyBorder="1" applyFill="1" applyFont="1">
      <alignment horizontal="right" readingOrder="0" shrinkToFit="0" wrapText="0"/>
    </xf>
    <xf borderId="1" fillId="3" fontId="44" numFmtId="0" xfId="0" applyAlignment="1" applyBorder="1" applyFill="1" applyFont="1">
      <alignment horizontal="left" readingOrder="0" shrinkToFit="0" vertical="bottom" wrapText="0"/>
    </xf>
    <xf borderId="1" fillId="0" fontId="7" numFmtId="0" xfId="0" applyAlignment="1" applyBorder="1" applyFont="1">
      <alignment horizontal="center" readingOrder="0" shrinkToFit="0" wrapText="0"/>
    </xf>
    <xf borderId="1" fillId="3" fontId="45" numFmtId="164" xfId="0" applyAlignment="1" applyBorder="1" applyFill="1" applyFont="1" applyNumberFormat="1">
      <alignment horizontal="right" readingOrder="0" shrinkToFit="0" vertical="bottom" wrapText="0"/>
    </xf>
    <xf borderId="1" fillId="3" fontId="45" numFmtId="0" xfId="0" applyAlignment="1" applyBorder="1" applyFill="1" applyFont="1">
      <alignment horizontal="right" readingOrder="0" shrinkToFit="0" vertical="bottom" wrapText="0"/>
    </xf>
    <xf borderId="1" fillId="7" fontId="7" numFmtId="0" xfId="0" applyAlignment="1" applyBorder="1" applyFill="1" applyFont="1">
      <alignment horizontal="left" readingOrder="0" shrinkToFit="0" wrapText="0"/>
    </xf>
    <xf borderId="1" fillId="7" fontId="8" numFmtId="0" xfId="0" applyAlignment="1" applyBorder="1" applyFill="1" applyFont="1">
      <alignment horizontal="center" shrinkToFit="0" wrapText="0"/>
    </xf>
    <xf borderId="1" fillId="0" fontId="38" numFmtId="0" xfId="0" applyAlignment="1" applyBorder="1" applyFont="1">
      <alignment horizontal="center" readingOrder="0" shrinkToFit="0" wrapText="0"/>
    </xf>
    <xf borderId="1" fillId="4" fontId="47" numFmtId="0" xfId="0" applyAlignment="1" applyBorder="1" applyFill="1" applyFont="1">
      <alignment readingOrder="0" vertical="bottom"/>
    </xf>
    <xf borderId="1" fillId="0" fontId="46" numFmtId="0" xfId="0" applyAlignment="1" applyBorder="1" applyFont="1">
      <alignment horizontal="right" readingOrder="0" shrinkToFit="0" wrapText="0"/>
    </xf>
    <xf borderId="0" fillId="0" fontId="26" numFmtId="0" xfId="0" applyFont="1"/>
    <xf borderId="1" fillId="0" fontId="46" numFmtId="0" xfId="0" applyAlignment="1" applyBorder="1" applyFont="1">
      <alignment horizontal="right" shrinkToFit="0" wrapText="0"/>
    </xf>
    <xf borderId="1" fillId="7" fontId="7" numFmtId="0" xfId="0" applyAlignment="1" applyBorder="1" applyFill="1" applyFont="1">
      <alignment horizontal="center" readingOrder="0" shrinkToFit="0" wrapText="0"/>
    </xf>
    <xf borderId="7" fillId="4" fontId="10" numFmtId="0" xfId="0" applyAlignment="1" applyBorder="1" applyFill="1" applyFont="1">
      <alignment horizontal="center" readingOrder="0" vertical="center"/>
    </xf>
    <xf borderId="1" fillId="7" fontId="7" numFmtId="0" xfId="0" applyAlignment="1" applyBorder="1" applyFill="1" applyFont="1">
      <alignment horizontal="right" readingOrder="0" shrinkToFit="0" wrapText="0"/>
    </xf>
    <xf borderId="1" fillId="2" fontId="6" numFmtId="0" xfId="0" applyAlignment="1" applyBorder="1" applyFill="1" applyFont="1">
      <alignment horizontal="center" shrinkToFit="0" wrapText="0"/>
    </xf>
    <xf borderId="6" fillId="4" fontId="10" numFmtId="164" xfId="0" applyAlignment="1" applyBorder="1" applyFill="1" applyFont="1" applyNumberFormat="1">
      <alignment horizontal="center" readingOrder="0" vertical="center"/>
    </xf>
    <xf borderId="1" fillId="2" fontId="48" numFmtId="0" xfId="0" applyAlignment="1" applyBorder="1" applyFill="1" applyFont="1">
      <alignment horizontal="right" shrinkToFit="0" wrapText="0"/>
    </xf>
    <xf borderId="1" fillId="7" fontId="8" numFmtId="0" xfId="0" applyAlignment="1" applyBorder="1" applyFill="1" applyFont="1">
      <alignment horizontal="right" readingOrder="0" shrinkToFit="0" wrapText="0"/>
    </xf>
    <xf borderId="1" fillId="4" fontId="10" numFmtId="167" xfId="0" applyAlignment="1" applyBorder="1" applyFill="1" applyFont="1" applyNumberFormat="1">
      <alignment horizontal="center" readingOrder="0"/>
    </xf>
    <xf borderId="1" fillId="3" fontId="1" numFmtId="164" xfId="0" applyAlignment="1" applyBorder="1" applyFill="1" applyFont="1" applyNumberFormat="1">
      <alignment horizontal="right" vertical="bottom"/>
    </xf>
    <xf borderId="1" fillId="0" fontId="1" numFmtId="164" xfId="0" applyAlignment="1" applyBorder="1" applyFont="1" applyNumberFormat="1">
      <alignment horizontal="right"/>
    </xf>
    <xf borderId="0" fillId="3" fontId="29" numFmtId="0" xfId="0" applyAlignment="1" applyFill="1" applyFont="1">
      <alignment horizontal="center" readingOrder="0" shrinkToFit="0" vertical="bottom" wrapText="0"/>
    </xf>
    <xf borderId="0" fillId="0" fontId="49" numFmtId="0" xfId="0" applyFont="1"/>
    <xf borderId="1" fillId="3" fontId="1" numFmtId="164" xfId="0" applyAlignment="1" applyBorder="1" applyFill="1" applyFont="1" applyNumberFormat="1">
      <alignment horizontal="right" readingOrder="0" vertical="bottom"/>
    </xf>
    <xf borderId="2" fillId="4" fontId="10" numFmtId="0" xfId="0" applyAlignment="1" applyBorder="1" applyFill="1" applyFont="1">
      <alignment horizontal="center" readingOrder="0"/>
    </xf>
    <xf borderId="1" fillId="4" fontId="1" numFmtId="164" xfId="0" applyAlignment="1" applyBorder="1" applyFill="1" applyFont="1" applyNumberFormat="1">
      <alignment horizontal="right"/>
    </xf>
    <xf borderId="1" fillId="4" fontId="1" numFmtId="0" xfId="0" applyBorder="1" applyFill="1" applyFont="1"/>
    <xf borderId="6" fillId="4" fontId="20" numFmtId="0" xfId="0" applyAlignment="1" applyBorder="1" applyFill="1" applyFont="1">
      <alignment horizontal="center" readingOrder="0"/>
    </xf>
    <xf borderId="0" fillId="3" fontId="30" numFmtId="0" xfId="0" applyAlignment="1" applyFill="1" applyFont="1">
      <alignment horizontal="left" readingOrder="0" shrinkToFit="0" vertical="bottom" wrapText="0"/>
    </xf>
    <xf borderId="0" fillId="3" fontId="30" numFmtId="0" xfId="0" applyAlignment="1" applyFill="1" applyFont="1">
      <alignment horizontal="right" readingOrder="0" shrinkToFit="0" vertical="bottom" wrapText="0"/>
    </xf>
    <xf borderId="6" fillId="4" fontId="10" numFmtId="0" xfId="0" applyAlignment="1" applyBorder="1" applyFill="1" applyFont="1">
      <alignment readingOrder="0"/>
    </xf>
    <xf borderId="1" fillId="4" fontId="7" numFmtId="0" xfId="0" applyAlignment="1" applyBorder="1" applyFill="1" applyFont="1">
      <alignment horizontal="center" shrinkToFit="0" vertical="bottom" wrapText="0"/>
    </xf>
    <xf borderId="1" fillId="4" fontId="8" numFmtId="0" xfId="0" applyAlignment="1" applyBorder="1" applyFill="1" applyFont="1">
      <alignment horizontal="center" shrinkToFit="0" vertical="bottom" wrapText="0"/>
    </xf>
    <xf borderId="1" fillId="0" fontId="1" numFmtId="164" xfId="0" applyBorder="1" applyFont="1" applyNumberFormat="1"/>
    <xf borderId="1" fillId="0" fontId="7" numFmtId="0" xfId="0" applyAlignment="1" applyBorder="1" applyFont="1">
      <alignment horizontal="left" readingOrder="0" shrinkToFit="0" wrapText="0"/>
    </xf>
    <xf borderId="1" fillId="0" fontId="8" numFmtId="0" xfId="0" applyAlignment="1" applyBorder="1" applyFont="1">
      <alignment horizontal="center" readingOrder="0" shrinkToFit="0" vertical="bottom" wrapText="0"/>
    </xf>
    <xf borderId="1" fillId="4" fontId="44" numFmtId="164" xfId="0" applyAlignment="1" applyBorder="1" applyFill="1" applyFont="1" applyNumberFormat="1">
      <alignment horizontal="right" readingOrder="0" shrinkToFit="0" vertical="bottom" wrapText="0"/>
    </xf>
    <xf borderId="1" fillId="0" fontId="8" numFmtId="164" xfId="0" applyAlignment="1" applyBorder="1" applyFont="1" applyNumberFormat="1">
      <alignment horizontal="center" readingOrder="0" shrinkToFit="0" vertical="bottom" wrapText="0"/>
    </xf>
    <xf borderId="2" fillId="2" fontId="3" numFmtId="0" xfId="0" applyAlignment="1" applyBorder="1" applyFill="1" applyFont="1">
      <alignment horizontal="center" readingOrder="0" shrinkToFit="0" wrapText="1"/>
    </xf>
    <xf borderId="6" fillId="4" fontId="10" numFmtId="0" xfId="0" applyAlignment="1" applyBorder="1" applyFill="1" applyFont="1">
      <alignment horizontal="center" readingOrder="0" shrinkToFit="0" vertical="center" wrapText="1"/>
    </xf>
    <xf borderId="1" fillId="0" fontId="8" numFmtId="164" xfId="0" applyAlignment="1" applyBorder="1" applyFont="1" applyNumberFormat="1">
      <alignment horizontal="right" readingOrder="0" shrinkToFit="0" vertical="bottom" wrapText="0"/>
    </xf>
    <xf borderId="6" fillId="4" fontId="10" numFmtId="0" xfId="0" applyAlignment="1" applyBorder="1" applyFill="1" applyFont="1">
      <alignment readingOrder="0" shrinkToFit="0" vertical="center" wrapText="1"/>
    </xf>
    <xf borderId="0" fillId="3" fontId="30" numFmtId="9" xfId="0" applyAlignment="1" applyFill="1" applyFont="1" applyNumberFormat="1">
      <alignment horizontal="right" readingOrder="0" shrinkToFit="0" vertical="bottom" wrapText="0"/>
    </xf>
    <xf borderId="1" fillId="4" fontId="45" numFmtId="0" xfId="0" applyAlignment="1" applyBorder="1" applyFill="1" applyFont="1">
      <alignment shrinkToFit="0" vertical="bottom" wrapText="0"/>
    </xf>
    <xf borderId="1" fillId="4" fontId="45" numFmtId="0" xfId="0" applyAlignment="1" applyBorder="1" applyFill="1" applyFont="1">
      <alignment horizontal="right" readingOrder="0" shrinkToFit="0" vertical="bottom" wrapText="0"/>
    </xf>
    <xf borderId="0" fillId="3" fontId="30" numFmtId="0" xfId="0" applyAlignment="1" applyFill="1" applyFont="1">
      <alignment horizontal="center" readingOrder="0" shrinkToFit="0" vertical="bottom" wrapText="0"/>
    </xf>
    <xf borderId="1" fillId="3" fontId="45" numFmtId="0" xfId="0" applyAlignment="1" applyBorder="1" applyFill="1" applyFont="1">
      <alignment horizontal="left" readingOrder="0" shrinkToFit="0" vertical="bottom" wrapText="0"/>
    </xf>
    <xf borderId="1" fillId="0" fontId="1" numFmtId="0" xfId="0" applyAlignment="1" applyBorder="1" applyFont="1">
      <alignment readingOrder="0" shrinkToFit="0" wrapText="1"/>
    </xf>
    <xf borderId="1" fillId="0" fontId="1" numFmtId="0" xfId="0" applyAlignment="1" applyBorder="1" applyFont="1">
      <alignment horizontal="right" readingOrder="0"/>
    </xf>
    <xf borderId="1" fillId="3" fontId="45" numFmtId="3" xfId="0" applyAlignment="1" applyBorder="1" applyFill="1" applyFont="1" applyNumberFormat="1">
      <alignment horizontal="right" readingOrder="0" shrinkToFit="0" vertical="bottom" wrapText="0"/>
    </xf>
    <xf borderId="1" fillId="0" fontId="50" numFmtId="0" xfId="0" applyAlignment="1" applyBorder="1" applyFont="1">
      <alignment readingOrder="0" shrinkToFit="0" wrapText="1"/>
    </xf>
    <xf borderId="0" fillId="3" fontId="30" numFmtId="10" xfId="0" applyAlignment="1" applyFill="1" applyFont="1" applyNumberFormat="1">
      <alignment horizontal="right" readingOrder="0" shrinkToFit="0" vertical="bottom" wrapText="0"/>
    </xf>
    <xf borderId="1" fillId="4" fontId="1" numFmtId="0" xfId="0" applyAlignment="1" applyBorder="1" applyFill="1" applyFont="1">
      <alignment horizontal="right" shrinkToFit="0" wrapText="1"/>
    </xf>
    <xf borderId="1" fillId="8" fontId="7" numFmtId="0" xfId="0" applyAlignment="1" applyBorder="1" applyFill="1" applyFont="1">
      <alignment horizontal="left" readingOrder="0" shrinkToFit="0" wrapText="0"/>
    </xf>
    <xf borderId="1" fillId="8" fontId="7" numFmtId="0" xfId="0" applyAlignment="1" applyBorder="1" applyFill="1" applyFont="1">
      <alignment horizontal="center" readingOrder="0" shrinkToFit="0" vertical="bottom" wrapText="0"/>
    </xf>
    <xf borderId="1" fillId="8" fontId="8" numFmtId="0" xfId="0" applyAlignment="1" applyBorder="1" applyFill="1" applyFont="1">
      <alignment horizontal="center" readingOrder="0" shrinkToFit="0" vertical="bottom" wrapText="0"/>
    </xf>
    <xf borderId="1" fillId="4" fontId="7" numFmtId="0" xfId="0" applyAlignment="1" applyBorder="1" applyFill="1" applyFont="1">
      <alignment horizontal="center" readingOrder="0" shrinkToFit="0" vertical="bottom" wrapText="0"/>
    </xf>
    <xf borderId="1" fillId="0" fontId="7" numFmtId="0" xfId="0" applyAlignment="1" applyBorder="1" applyFont="1">
      <alignment horizontal="center" readingOrder="0" shrinkToFit="0" vertical="bottom" wrapText="0"/>
    </xf>
    <xf borderId="1" fillId="3" fontId="8" numFmtId="0" xfId="0" applyAlignment="1" applyBorder="1" applyFill="1" applyFont="1">
      <alignment horizontal="center" readingOrder="0" shrinkToFit="0" vertical="bottom" wrapText="0"/>
    </xf>
    <xf borderId="1" fillId="0" fontId="13" numFmtId="3" xfId="0" applyAlignment="1" applyBorder="1" applyFont="1" applyNumberFormat="1">
      <alignment horizontal="right" vertical="bottom"/>
    </xf>
    <xf borderId="1" fillId="3" fontId="45" numFmtId="164" xfId="0" applyAlignment="1" applyBorder="1" applyFill="1" applyFont="1" applyNumberFormat="1">
      <alignment shrinkToFit="0" vertical="bottom" wrapText="0"/>
    </xf>
    <xf borderId="1" fillId="4" fontId="44" numFmtId="3" xfId="0" applyAlignment="1" applyBorder="1" applyFill="1" applyFont="1" applyNumberFormat="1">
      <alignment horizontal="right" readingOrder="0" shrinkToFit="0" vertical="bottom" wrapText="0"/>
    </xf>
    <xf borderId="1" fillId="9" fontId="45" numFmtId="164" xfId="0" applyAlignment="1" applyBorder="1" applyFill="1" applyFont="1" applyNumberFormat="1">
      <alignment horizontal="right" readingOrder="0" shrinkToFit="0" vertical="bottom" wrapText="0"/>
    </xf>
    <xf borderId="1" fillId="3" fontId="44" numFmtId="0" xfId="0" applyAlignment="1" applyBorder="1" applyFill="1" applyFont="1">
      <alignment horizontal="left" readingOrder="0" shrinkToFit="0" vertical="bottom" wrapText="1"/>
    </xf>
    <xf borderId="1" fillId="0" fontId="13" numFmtId="0" xfId="0" applyBorder="1" applyFont="1"/>
    <xf borderId="0" fillId="3" fontId="15" numFmtId="0" xfId="0" applyFill="1" applyFont="1"/>
    <xf borderId="1" fillId="9" fontId="44" numFmtId="164" xfId="0" applyAlignment="1" applyBorder="1" applyFill="1" applyFont="1" applyNumberFormat="1">
      <alignment horizontal="right" readingOrder="0" shrinkToFit="0" vertical="bottom" wrapText="0"/>
    </xf>
    <xf borderId="0" fillId="0" fontId="51" numFmtId="0" xfId="0" applyAlignment="1" applyFont="1">
      <alignment readingOrder="0"/>
    </xf>
    <xf borderId="0" fillId="0" fontId="52" numFmtId="0" xfId="0" applyFont="1"/>
    <xf borderId="0" fillId="0" fontId="52" numFmtId="0" xfId="0" applyAlignment="1" applyFont="1">
      <alignment readingOrder="0"/>
    </xf>
    <xf borderId="0" fillId="0" fontId="5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38100</xdr:colOff>
      <xdr:row>2</xdr:row>
      <xdr:rowOff>19050</xdr:rowOff>
    </xdr:from>
    <xdr:ext cx="6877050" cy="1419225"/>
    <xdr:pic>
      <xdr:nvPicPr>
        <xdr:cNvPr id="0" name="image1.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guardian.com.vn/dau-go-i-cao-bo-ke-t-thorakao-250ml.html?srsltid=AYCX9vKFECPTjovruuqVkbZalTW2jE_QTw6CriImt1Xq618y9aQZzVwf" TargetMode="External"/><Relationship Id="rId2" Type="http://schemas.openxmlformats.org/officeDocument/2006/relationships/hyperlink" Target="https://mypharma.vn/san-pham/dau-goi-duoc-lieu-nguyen-xuan-nau/" TargetMode="External"/><Relationship Id="rId3" Type="http://schemas.openxmlformats.org/officeDocument/2006/relationships/hyperlink" Target="https://www.webtaphoa.vn/products/sua-tam-lifebuoy-cham-soc-da-chai-250g" TargetMode="External"/><Relationship Id="rId4" Type="http://schemas.openxmlformats.org/officeDocument/2006/relationships/hyperlink" Target="https://nhathuoclongchau.com.vn/cham-soc-ca-nhan/sua-tam-goi-lactacyd-baby-milky-250ml.html" TargetMode="External"/><Relationship Id="rId5" Type="http://schemas.openxmlformats.org/officeDocument/2006/relationships/hyperlink" Target="https://shopee.vn/product/1105538210/47400852059?gads_t_sig=gqRjZGVrxHCFomtpsTE0MjUxOnRzc19zZGtfa2V5omt20QACpGFsZ2_SAAAAZKNkZWvAomN0xEAAAAAMaBRvcqdZwgRklGTWoHoxFGhRfNAexxPkhN1n8rcCO5qFEud_-aY2hsGdfUnqCpX0P0Z7lpJy6IP6_Ew8qmNpcGhlcnRleHTEcAAAAAx56wSZoGifCYwHdJGp7F_3oKr_gJIFpMWgmHRugtCH3XzrB2e51V45inVryMoXUCWlJcIjipoBPOYVSZGTpYXOwVMJY14XS657iM8zQNDSmw7pWzjt7e7QaZgyZAkhPEAn_Ag-xkDleD4PQ_c&amp;gad_source=1&amp;gad_campaignid=24032810043&amp;gbraid=0AAAAADPpQE76RCwveuarckz17npltLqnO&amp;gclid=CjwKCAjw9PvWBhAxEiwAddzYyXKof9TW5afJgdJhteS8uJEme2me71R61x1cS3ctl0clR2ilDOezuRoCucYQAvD_BwE" TargetMode="External"/><Relationship Id="rId6" Type="http://schemas.openxmlformats.org/officeDocument/2006/relationships/hyperlink" Target="https://shopee.vn/product/411692664/25265162299?gads_t_sig=gqRjZGVrxHCFomtpsTE0MjUxOnRzc19zZGtfa2V5omt20QACpGFsZ2_SAAAAZKNkZWvAomN0xEAAAAAMaBRvcqdZwgRklGTWoHoxFGhRfNAexxPkhN1n8rcCO5qFEud_-aY2hsGdfUnqCpX0P0Z7lpJy6IP6_Ew8qmNpcGhlcnRleHTEbgAAAAzMoKMfcGwkt0QrkMC1FHsCi_GekBusu8vx_UPDIEzfXc9xuiqqKCo3oLlSRuq9GmDSuyJ1Gk3Pf1SIo4JQ8tbN62IZjV0cWb_qVkmmlX35_XGhEdJyZm_RRt5LqR-QyaS3OI4ixKH9DQnO&amp;gad_source=1&amp;gad_campaignid=24032810043&amp;gbraid=0AAAAADPpQE76RCwveuarckz17npltLqnO&amp;gclid=CjwKCAjw9PvWBhAxEiwAddzYyfxuKal7F9FDcNp9nuBvJz3kntQjg9NHiQha3dbbHQyX2-olL-xWSRoCsNoQAvD_BwE" TargetMode="External"/><Relationship Id="rId7" Type="http://schemas.openxmlformats.org/officeDocument/2006/relationships/hyperlink" Target="https://baochinhphu.vn/chuyen-gia-du-bao-lam-phat-2026-quanh-35-nhung-can-than-trong-truoc-ap-luc-102260112183844303.htm"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hyperlink" Target="https://intuoitre.vn/bao-gia-in-menu?srsltid=AYCX9vJpfhzZIR93k1lV49ib3C1IDd8Bz3HsmC4909scJsluEj4RuLWU" TargetMode="External"/><Relationship Id="rId10" Type="http://schemas.openxmlformats.org/officeDocument/2006/relationships/hyperlink" Target="https://advsaigon.com/bang-hieu-mica-dan-decal" TargetMode="External"/><Relationship Id="rId13" Type="http://schemas.openxmlformats.org/officeDocument/2006/relationships/hyperlink" Target="https://shopee.vn/product/868910179/56810417674?gads_t_sig=gqRjZGVrxHCFomtpsTE0MjUxOnRzc19zZGtfa2V5omt20QACpGFsZ2_SAAAAZKNkZWvAomN0xEAAAAAMaBRvcqdZwgRklGTWoHoxFGhRfNAexxPkhN1n8rcCO5qFEud_-aY2hsGdfUnqCpX0P0Z7lpJy6IP6_Ew8qmNpcGhlcnRleHTEbgAAAAw7gENv7Y90SqfRaIgqWv4eUyQrkFpaB58RbOoIEfW5VkmEzwMr0uaEaAnHVOCkmXjQnBnRPLh_sZhjDIwe0yX3FN3eWwQtFT_SlUQYWtf_vDRaksOv-kzQIxoxNpbHrMxRIUndliElKY7V&amp;gad_source=1&amp;gad_campaignid=22496000355&amp;gbraid=0AAAAADPpQE5ub_mpEzGbjOykVMLWUIl3b&amp;gclid=CjwKCAjwi-zWBhAdEiwAqlRf-M9dj8W9GjqMNry_Ig2m9tGwvi5P3TJoVWQBmba6r6wSdY8jjWXvLxoCa4IQAvD_BwE" TargetMode="External"/><Relationship Id="rId12" Type="http://schemas.openxmlformats.org/officeDocument/2006/relationships/hyperlink" Target="https://shopee.vn/Ph%E1%BB%85u-nh%E1%BB%B1a-Qu%E1%BA%B7n-l%E1%BB%8Dc-CKT-(L%E1%BB%9Bn-Trung-Nh%E1%BB%8F)-ph%E1%BB%85u-r%C3%B3t-ch%E1%BA%A5t-l%E1%BB%8Fng-d%E1%BA%A7u-%C4%83n-d%E1%BB%A5ng-c%E1%BB%A5-nh%C3%A0-b%E1%BA%BFp-%C4%91a-n%C4%83ng-i.1635883539.40026437591?extraParams=%7B%22display_model_id%22%3A282157150277%2C%22model_selection_logic%22%3A3%7D" TargetMode="External"/><Relationship Id="rId1" Type="http://schemas.openxmlformats.org/officeDocument/2006/relationships/hyperlink" Target="https://thuvienphapluat.vn/ma-so-thue/phap-luat-thue/phi-dang-ky-giay-phep-kinh-doanh-2025-la-bao-nhieu-227459-198754.html" TargetMode="External"/><Relationship Id="rId2" Type="http://schemas.openxmlformats.org/officeDocument/2006/relationships/hyperlink" Target="https://thuvienphapluat.vn/phap-luat-doanh-nghiep/cau-hoi-thuong-gap/le-phi-cong-bo-thong-tin-doanh-nghiep-2025-la-bao-nhieu-7725.html" TargetMode="External"/><Relationship Id="rId3" Type="http://schemas.openxmlformats.org/officeDocument/2006/relationships/hyperlink" Target="https://www.madeinchina.com/mall/show-Customized-Self-Service-Commercial-Coin-Operated-Laundry-Dispenser-Refill-Shampoo-Soap-Liquid-Detergent-Vending-Machine_625656.html" TargetMode="External"/><Relationship Id="rId4" Type="http://schemas.openxmlformats.org/officeDocument/2006/relationships/hyperlink" Target="https://thietbi.posapp.vn/may-pos-2-man-hinh-pa680/" TargetMode="External"/><Relationship Id="rId9" Type="http://schemas.openxmlformats.org/officeDocument/2006/relationships/hyperlink" Target="https://bonny.com.vn/can-nuoc-rua-chen-bonny-huong-chanh-que" TargetMode="External"/><Relationship Id="rId15" Type="http://schemas.openxmlformats.org/officeDocument/2006/relationships/hyperlink" Target="https://docs.google.com/document/d/1_HMlLlBhMNbeBFqu_-qoWuel-cmJBxOUAbDiNjOW2dw/edit?usp=sharing" TargetMode="External"/><Relationship Id="rId14" Type="http://schemas.openxmlformats.org/officeDocument/2006/relationships/hyperlink" Target="https://shopee.vn/C%E1%BB%91c-%C4%90ong-Nh%E1%BB%B1a-100ML-300ML-500ML-1000ML-i.377596970.7577856643?extraParams=%7B%22display_model_id%22%3A90793504549%2C%22model_selection_logic%22%3A3%7D&amp;image_ids=53166c28cce5d123f61fcb060c2df42b" TargetMode="External"/><Relationship Id="rId17" Type="http://schemas.openxmlformats.org/officeDocument/2006/relationships/hyperlink" Target="https://sunads.com.vn/tin-tuc/bang-gia-dich-vu-san-xuat-video-tiktok-2025.html" TargetMode="External"/><Relationship Id="rId16" Type="http://schemas.openxmlformats.org/officeDocument/2006/relationships/hyperlink" Target="https://neyul.com/tin-tuc/chi-phi-chay-quang-cao-tiktok" TargetMode="External"/><Relationship Id="rId5" Type="http://schemas.openxmlformats.org/officeDocument/2006/relationships/hyperlink" Target="https://bonny.com.vn/combo-1-can-dau-goi-1-can-sua-tam-bonny-10l" TargetMode="External"/><Relationship Id="rId6" Type="http://schemas.openxmlformats.org/officeDocument/2006/relationships/hyperlink" Target="https://shopee.vn/T%C3%BAi-%C4%90%E1%BB%B1ng-N%C6%B0%E1%BB%9Bc-Trong-Su%E1%BB%91t-5L-10L-T%C3%BAi-%C4%90%E1%BB%B1ng-Th%E1%BB%B1c-Ph%E1%BA%A9m-Mi%E1%BB%87ng-3.3cm-T%C3%BAi-%C4%90%E1%BB%B1ng-R%C6%B0%C6%A1u-i.1125634368.24072361628?extraParams=%7B%22display_model_id%22%3A236577753326%2C%22model_selection_logic%22%3A3%7D&amp;image_ids=vn-11134207-7ra0g-m834zzpjigle74" TargetMode="External"/><Relationship Id="rId18" Type="http://schemas.openxmlformats.org/officeDocument/2006/relationships/drawing" Target="../drawings/drawing4.xml"/><Relationship Id="rId7" Type="http://schemas.openxmlformats.org/officeDocument/2006/relationships/hyperlink" Target="https://bonny.com.vn/combo-1-can-dau-goi-1-can-sua-tam-bonny-10l" TargetMode="External"/><Relationship Id="rId8" Type="http://schemas.openxmlformats.org/officeDocument/2006/relationships/hyperlink" Target="https://insieutoc.vn/bang-bao-gia-in-deca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chinhsachonline.chinhphu.vn/dieu-kien-ap-dung-chinh-sach-mien-thue-thu-nhap-doanh-nghiep-85100.htm" TargetMode="External"/><Relationship Id="rId2" Type="http://schemas.openxmlformats.org/officeDocument/2006/relationships/hyperlink" Target="https://datafiles.chinhphu.vn/cpp/files/vbpq/2025/7/67qh.signed.pdf"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5.13"/>
    <col customWidth="1" min="6" max="6" width="17.25"/>
  </cols>
  <sheetData>
    <row r="4">
      <c r="D4" s="3"/>
      <c r="E4" s="6" t="s">
        <v>2</v>
      </c>
      <c r="F4" s="6" t="s">
        <v>4</v>
      </c>
    </row>
    <row r="5">
      <c r="D5" s="12" t="s">
        <v>5</v>
      </c>
      <c r="E5" s="13" t="s">
        <v>7</v>
      </c>
      <c r="F5" s="17" t="s">
        <v>9</v>
      </c>
    </row>
    <row r="6">
      <c r="D6" s="18"/>
      <c r="E6" s="13" t="s">
        <v>12</v>
      </c>
      <c r="F6" s="21"/>
    </row>
    <row r="7">
      <c r="D7" s="12" t="s">
        <v>15</v>
      </c>
      <c r="E7" s="13" t="s">
        <v>17</v>
      </c>
      <c r="F7" s="17" t="s">
        <v>18</v>
      </c>
    </row>
    <row r="8">
      <c r="D8" s="18"/>
      <c r="E8" s="13" t="s">
        <v>21</v>
      </c>
      <c r="F8" s="21"/>
    </row>
    <row r="9">
      <c r="D9" s="13" t="s">
        <v>22</v>
      </c>
      <c r="E9" s="13" t="s">
        <v>23</v>
      </c>
      <c r="F9" s="26"/>
    </row>
  </sheetData>
  <mergeCells count="4">
    <mergeCell ref="D5:D6"/>
    <mergeCell ref="F5:F6"/>
    <mergeCell ref="D7:D8"/>
    <mergeCell ref="F7:F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25"/>
    <col customWidth="1" min="3" max="3" width="26.13"/>
    <col customWidth="1" min="4" max="4" width="159.63"/>
    <col customWidth="1" min="5" max="5" width="46.75"/>
    <col customWidth="1" min="8" max="8" width="16.75"/>
    <col customWidth="1" min="9" max="9" width="100.38"/>
    <col customWidth="1" min="10" max="10" width="28.38"/>
    <col customWidth="1" min="11" max="12" width="25.13"/>
  </cols>
  <sheetData>
    <row r="3">
      <c r="B3" s="4" t="s">
        <v>1</v>
      </c>
      <c r="C3" s="5"/>
      <c r="D3" s="7" t="s">
        <v>3</v>
      </c>
    </row>
    <row r="4">
      <c r="B4" s="11" t="s">
        <v>6</v>
      </c>
      <c r="C4" s="14"/>
      <c r="D4" s="16" t="s">
        <v>10</v>
      </c>
    </row>
    <row r="5">
      <c r="B5" s="19"/>
      <c r="C5" s="20"/>
      <c r="D5" s="22" t="s">
        <v>14</v>
      </c>
    </row>
    <row r="6">
      <c r="B6" s="19"/>
      <c r="C6" s="20"/>
      <c r="D6" s="22" t="s">
        <v>16</v>
      </c>
    </row>
    <row r="7">
      <c r="B7" s="19"/>
      <c r="C7" s="20"/>
      <c r="D7" s="22" t="s">
        <v>19</v>
      </c>
    </row>
    <row r="8">
      <c r="B8" s="25"/>
      <c r="C8" s="21"/>
      <c r="D8" s="27" t="s">
        <v>24</v>
      </c>
    </row>
    <row r="9">
      <c r="B9" s="29" t="s">
        <v>26</v>
      </c>
      <c r="C9" s="5"/>
      <c r="D9" s="31"/>
    </row>
    <row r="14">
      <c r="B14" s="34" t="s">
        <v>29</v>
      </c>
      <c r="C14" s="37"/>
      <c r="D14" s="38" t="s">
        <v>31</v>
      </c>
      <c r="E14" s="39" t="s">
        <v>13</v>
      </c>
    </row>
    <row r="15">
      <c r="B15" s="42">
        <v>1.0</v>
      </c>
      <c r="C15" s="44" t="s">
        <v>39</v>
      </c>
      <c r="D15" s="46" t="s">
        <v>44</v>
      </c>
      <c r="E15" s="26"/>
      <c r="H15" s="49"/>
      <c r="I15" s="50" t="s">
        <v>47</v>
      </c>
      <c r="J15" s="50" t="s">
        <v>48</v>
      </c>
      <c r="K15" s="50" t="s">
        <v>49</v>
      </c>
      <c r="L15" s="50" t="s">
        <v>50</v>
      </c>
    </row>
    <row r="16">
      <c r="B16" s="42">
        <v>2.0</v>
      </c>
      <c r="C16" s="54" t="s">
        <v>53</v>
      </c>
      <c r="D16" s="46" t="s">
        <v>54</v>
      </c>
      <c r="E16" s="26"/>
      <c r="H16" s="55" t="s">
        <v>55</v>
      </c>
      <c r="I16" s="57" t="s">
        <v>57</v>
      </c>
      <c r="J16" s="67">
        <f>48000*(1-20%)</f>
        <v>38400</v>
      </c>
      <c r="K16" s="71">
        <f t="shared" ref="K16:K18" si="1">(J16/250)*100</f>
        <v>15360</v>
      </c>
      <c r="L16" s="71">
        <f t="shared" ref="L16:L18" si="2">(J16/250)*500</f>
        <v>76800</v>
      </c>
      <c r="M16" s="75" t="s">
        <v>73</v>
      </c>
      <c r="N16" s="75" t="s">
        <v>73</v>
      </c>
      <c r="O16" s="78"/>
    </row>
    <row r="17">
      <c r="B17" s="42">
        <v>3.0</v>
      </c>
      <c r="C17" s="18"/>
      <c r="D17" s="46" t="s">
        <v>82</v>
      </c>
      <c r="E17" s="26"/>
      <c r="H17" s="55" t="s">
        <v>83</v>
      </c>
      <c r="I17" s="79" t="s">
        <v>84</v>
      </c>
      <c r="J17" s="83">
        <f>58000*(1-20%)</f>
        <v>46400</v>
      </c>
      <c r="K17" s="71">
        <f t="shared" si="1"/>
        <v>18560</v>
      </c>
      <c r="L17" s="71">
        <f t="shared" si="2"/>
        <v>92800</v>
      </c>
      <c r="M17" s="75" t="s">
        <v>73</v>
      </c>
      <c r="N17" s="75" t="s">
        <v>73</v>
      </c>
      <c r="O17" s="91"/>
    </row>
    <row r="18">
      <c r="B18" s="42">
        <v>4.0</v>
      </c>
      <c r="C18" s="44" t="s">
        <v>94</v>
      </c>
      <c r="D18" s="46" t="s">
        <v>95</v>
      </c>
      <c r="E18" s="26"/>
      <c r="H18" s="55" t="s">
        <v>89</v>
      </c>
      <c r="I18" s="57" t="s">
        <v>97</v>
      </c>
      <c r="J18" s="83">
        <f>(18000/200)*250*80%</f>
        <v>18000</v>
      </c>
      <c r="K18" s="71">
        <f t="shared" si="1"/>
        <v>7200</v>
      </c>
      <c r="L18" s="71">
        <f t="shared" si="2"/>
        <v>36000</v>
      </c>
      <c r="M18" s="75" t="s">
        <v>73</v>
      </c>
      <c r="N18" s="75" t="s">
        <v>73</v>
      </c>
      <c r="O18" s="91"/>
    </row>
    <row r="19">
      <c r="B19" s="42">
        <v>5.0</v>
      </c>
      <c r="C19" s="44" t="s">
        <v>127</v>
      </c>
      <c r="D19" s="46" t="s">
        <v>128</v>
      </c>
      <c r="E19" s="26"/>
      <c r="L19" s="123"/>
    </row>
    <row r="20">
      <c r="B20" s="42">
        <v>6.0</v>
      </c>
      <c r="C20" s="44" t="s">
        <v>133</v>
      </c>
      <c r="D20" s="46" t="s">
        <v>134</v>
      </c>
      <c r="E20" s="26"/>
    </row>
    <row r="21">
      <c r="B21" s="42">
        <v>7.0</v>
      </c>
      <c r="C21" s="44" t="s">
        <v>136</v>
      </c>
      <c r="D21" s="46" t="s">
        <v>137</v>
      </c>
      <c r="E21" s="26"/>
    </row>
    <row r="22">
      <c r="B22" s="42">
        <v>8.0</v>
      </c>
      <c r="C22" s="44" t="s">
        <v>138</v>
      </c>
      <c r="D22" s="46" t="s">
        <v>139</v>
      </c>
      <c r="E22" s="129" t="s">
        <v>73</v>
      </c>
    </row>
    <row r="23">
      <c r="B23" s="42">
        <v>9.0</v>
      </c>
      <c r="C23" s="44" t="s">
        <v>148</v>
      </c>
      <c r="D23" s="46" t="s">
        <v>149</v>
      </c>
      <c r="E23" s="26"/>
    </row>
    <row r="24">
      <c r="A24" s="135"/>
      <c r="B24" s="42">
        <v>10.0</v>
      </c>
      <c r="C24" s="137" t="s">
        <v>153</v>
      </c>
      <c r="D24" s="138" t="s">
        <v>154</v>
      </c>
      <c r="E24" s="139"/>
      <c r="F24" s="135"/>
      <c r="G24" s="135"/>
      <c r="H24" s="135"/>
      <c r="I24" s="135"/>
      <c r="J24" s="135"/>
      <c r="K24" s="135"/>
      <c r="L24" s="135"/>
      <c r="M24" s="135"/>
      <c r="N24" s="135"/>
      <c r="O24" s="135"/>
      <c r="P24" s="135"/>
      <c r="Q24" s="135"/>
      <c r="R24" s="135"/>
      <c r="S24" s="135"/>
      <c r="T24" s="135"/>
      <c r="U24" s="135"/>
      <c r="V24" s="135"/>
      <c r="W24" s="135"/>
      <c r="X24" s="135"/>
      <c r="Y24" s="135"/>
      <c r="Z24" s="135"/>
      <c r="AA24" s="135"/>
      <c r="AB24" s="135"/>
      <c r="AC24" s="135"/>
    </row>
    <row r="25">
      <c r="B25" s="42">
        <v>11.0</v>
      </c>
      <c r="C25" s="44" t="s">
        <v>32</v>
      </c>
      <c r="D25" s="46" t="s">
        <v>158</v>
      </c>
      <c r="E25" s="140"/>
      <c r="F25" s="123"/>
      <c r="G25" s="123"/>
    </row>
    <row r="26">
      <c r="B26" s="42">
        <v>12.0</v>
      </c>
      <c r="C26" s="44" t="s">
        <v>159</v>
      </c>
      <c r="D26" s="46" t="s">
        <v>160</v>
      </c>
      <c r="E26" s="141"/>
      <c r="F26" s="123"/>
      <c r="G26" s="123"/>
    </row>
    <row r="27">
      <c r="B27" s="42">
        <v>13.0</v>
      </c>
      <c r="C27" s="44" t="s">
        <v>161</v>
      </c>
      <c r="D27" s="46" t="s">
        <v>162</v>
      </c>
      <c r="E27" s="141"/>
      <c r="F27" s="123"/>
      <c r="G27" s="123"/>
    </row>
    <row r="28">
      <c r="B28" s="42">
        <v>14.0</v>
      </c>
      <c r="C28" s="44" t="s">
        <v>164</v>
      </c>
      <c r="D28" s="46" t="s">
        <v>165</v>
      </c>
      <c r="E28" s="26"/>
    </row>
    <row r="29">
      <c r="B29" s="42">
        <v>15.0</v>
      </c>
      <c r="C29" s="44" t="s">
        <v>167</v>
      </c>
      <c r="D29" s="46" t="s">
        <v>168</v>
      </c>
      <c r="E29" s="26"/>
    </row>
    <row r="30">
      <c r="B30" s="42">
        <v>16.0</v>
      </c>
      <c r="C30" s="44" t="s">
        <v>170</v>
      </c>
      <c r="D30" s="46" t="s">
        <v>171</v>
      </c>
      <c r="E30" s="13" t="s">
        <v>172</v>
      </c>
    </row>
    <row r="31">
      <c r="B31" s="147">
        <v>17.0</v>
      </c>
      <c r="C31" s="148" t="s">
        <v>173</v>
      </c>
      <c r="D31" s="149" t="s">
        <v>174</v>
      </c>
      <c r="E31" s="149" t="s">
        <v>175</v>
      </c>
    </row>
    <row r="32">
      <c r="B32" s="18"/>
      <c r="C32" s="18"/>
      <c r="D32" s="18"/>
      <c r="E32" s="18"/>
    </row>
    <row r="33">
      <c r="B33" s="42">
        <v>18.0</v>
      </c>
      <c r="C33" s="151" t="s">
        <v>153</v>
      </c>
      <c r="D33" s="152" t="s">
        <v>178</v>
      </c>
      <c r="E33" s="152" t="s">
        <v>179</v>
      </c>
    </row>
    <row r="34">
      <c r="B34" s="147">
        <v>19.0</v>
      </c>
      <c r="C34" s="148" t="s">
        <v>181</v>
      </c>
      <c r="D34" s="157" t="s">
        <v>184</v>
      </c>
      <c r="E34" s="157" t="s">
        <v>185</v>
      </c>
    </row>
    <row r="35">
      <c r="B35" s="159"/>
      <c r="C35" s="159"/>
      <c r="D35" s="159"/>
      <c r="E35" s="159"/>
    </row>
    <row r="36">
      <c r="B36" s="18"/>
      <c r="C36" s="18"/>
      <c r="D36" s="18"/>
      <c r="E36" s="18"/>
    </row>
  </sheetData>
  <mergeCells count="12">
    <mergeCell ref="B31:B32"/>
    <mergeCell ref="B34:B36"/>
    <mergeCell ref="C34:C36"/>
    <mergeCell ref="D34:D36"/>
    <mergeCell ref="E34:E36"/>
    <mergeCell ref="B3:C3"/>
    <mergeCell ref="B4:C8"/>
    <mergeCell ref="B9:C9"/>
    <mergeCell ref="C16:C17"/>
    <mergeCell ref="C31:C32"/>
    <mergeCell ref="D31:D32"/>
    <mergeCell ref="E31:E32"/>
  </mergeCells>
  <hyperlinks>
    <hyperlink r:id="rId1" ref="M16"/>
    <hyperlink r:id="rId2" ref="N16"/>
    <hyperlink r:id="rId3" ref="M17"/>
    <hyperlink r:id="rId4" ref="N17"/>
    <hyperlink r:id="rId5" ref="M18"/>
    <hyperlink r:id="rId6" ref="N18"/>
    <hyperlink r:id="rId7" ref="E22"/>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4.38"/>
    <col customWidth="1" min="3" max="3" width="31.0"/>
    <col customWidth="1" min="4" max="4" width="21.13"/>
    <col customWidth="1" min="5" max="5" width="26.75"/>
    <col customWidth="1" min="6" max="6" width="20.25"/>
    <col customWidth="1" min="7" max="7" width="17.75"/>
    <col customWidth="1" min="8" max="8" width="18.5"/>
    <col customWidth="1" min="15" max="15" width="13.63"/>
  </cols>
  <sheetData>
    <row r="2">
      <c r="B2" s="8" t="s">
        <v>0</v>
      </c>
      <c r="C2" s="10"/>
      <c r="D2" s="10"/>
      <c r="E2" s="10"/>
      <c r="F2" s="10"/>
      <c r="G2" s="5"/>
    </row>
    <row r="3">
      <c r="B3" s="15" t="s">
        <v>8</v>
      </c>
      <c r="C3" s="15" t="s">
        <v>11</v>
      </c>
      <c r="D3" s="23" t="s">
        <v>13</v>
      </c>
      <c r="E3" s="10"/>
      <c r="F3" s="10"/>
      <c r="G3" s="5"/>
    </row>
    <row r="4">
      <c r="B4" s="24" t="s">
        <v>20</v>
      </c>
      <c r="C4" s="28">
        <v>600.0</v>
      </c>
      <c r="D4" s="30" t="s">
        <v>25</v>
      </c>
      <c r="E4" s="10"/>
      <c r="F4" s="10"/>
      <c r="G4" s="5"/>
    </row>
    <row r="5">
      <c r="B5" s="24" t="s">
        <v>28</v>
      </c>
      <c r="C5" s="28">
        <v>650.0</v>
      </c>
      <c r="D5" s="30"/>
      <c r="E5" s="10"/>
      <c r="F5" s="10"/>
      <c r="G5" s="5"/>
    </row>
    <row r="6">
      <c r="B6" s="24" t="s">
        <v>30</v>
      </c>
      <c r="C6" s="36">
        <v>0.1</v>
      </c>
      <c r="D6" s="30"/>
      <c r="E6" s="10"/>
      <c r="F6" s="10"/>
      <c r="G6" s="5"/>
    </row>
    <row r="7">
      <c r="B7" s="24" t="s">
        <v>32</v>
      </c>
      <c r="C7" s="36">
        <v>0.03</v>
      </c>
      <c r="D7" s="30" t="s">
        <v>34</v>
      </c>
      <c r="E7" s="10"/>
      <c r="F7" s="10"/>
      <c r="G7" s="5"/>
    </row>
    <row r="8">
      <c r="B8" s="24" t="s">
        <v>36</v>
      </c>
      <c r="C8" s="36">
        <v>0.13</v>
      </c>
      <c r="D8" s="30" t="s">
        <v>37</v>
      </c>
      <c r="E8" s="10"/>
      <c r="F8" s="10"/>
      <c r="G8" s="5"/>
    </row>
    <row r="9">
      <c r="B9" s="24" t="s">
        <v>41</v>
      </c>
      <c r="C9" s="28">
        <v>300.0</v>
      </c>
      <c r="D9" s="30" t="s">
        <v>42</v>
      </c>
      <c r="E9" s="10"/>
      <c r="F9" s="10"/>
      <c r="G9" s="5"/>
    </row>
    <row r="10">
      <c r="B10" s="24" t="s">
        <v>51</v>
      </c>
      <c r="C10" s="28">
        <v>325.0</v>
      </c>
      <c r="D10" s="30" t="s">
        <v>42</v>
      </c>
      <c r="E10" s="10"/>
      <c r="F10" s="10"/>
      <c r="G10" s="5"/>
    </row>
    <row r="13">
      <c r="B13" s="8" t="s">
        <v>52</v>
      </c>
      <c r="C13" s="10"/>
      <c r="D13" s="10"/>
      <c r="E13" s="5"/>
      <c r="F13" s="52"/>
      <c r="G13" s="53"/>
      <c r="H13" s="53"/>
    </row>
    <row r="14">
      <c r="B14" s="56" t="s">
        <v>56</v>
      </c>
      <c r="C14" s="58" t="s">
        <v>58</v>
      </c>
      <c r="D14" s="58" t="s">
        <v>59</v>
      </c>
      <c r="E14" s="58" t="s">
        <v>60</v>
      </c>
      <c r="F14" s="59"/>
      <c r="G14" s="60"/>
      <c r="H14" s="60"/>
    </row>
    <row r="15">
      <c r="B15" s="24" t="s">
        <v>61</v>
      </c>
      <c r="C15" s="62">
        <v>15000.0</v>
      </c>
      <c r="D15" s="62">
        <v>38000.0</v>
      </c>
      <c r="E15" s="64">
        <v>77000.0</v>
      </c>
      <c r="F15" s="65"/>
      <c r="G15" s="66"/>
      <c r="H15" s="66"/>
    </row>
    <row r="16">
      <c r="B16" s="24" t="s">
        <v>64</v>
      </c>
      <c r="C16" s="69">
        <v>19000.0</v>
      </c>
      <c r="D16" s="69">
        <v>46000.0</v>
      </c>
      <c r="E16" s="64">
        <v>93000.0</v>
      </c>
      <c r="F16" s="65"/>
      <c r="G16" s="66"/>
      <c r="H16" s="66"/>
    </row>
    <row r="17">
      <c r="B17" s="24" t="s">
        <v>65</v>
      </c>
      <c r="C17" s="69">
        <v>7000.0</v>
      </c>
      <c r="D17" s="72">
        <f>(18000/200)*250*80%</f>
        <v>18000</v>
      </c>
      <c r="E17" s="64">
        <v>36000.0</v>
      </c>
      <c r="F17" s="65"/>
      <c r="G17" s="66"/>
      <c r="H17" s="66"/>
    </row>
    <row r="20">
      <c r="B20" s="8" t="s">
        <v>72</v>
      </c>
      <c r="C20" s="10"/>
      <c r="D20" s="10"/>
      <c r="E20" s="10"/>
      <c r="F20" s="10"/>
      <c r="G20" s="5"/>
    </row>
    <row r="21">
      <c r="B21" s="56" t="s">
        <v>74</v>
      </c>
      <c r="C21" s="56" t="s">
        <v>76</v>
      </c>
      <c r="D21" s="56" t="s">
        <v>77</v>
      </c>
      <c r="E21" s="56" t="s">
        <v>78</v>
      </c>
      <c r="F21" s="56" t="s">
        <v>79</v>
      </c>
      <c r="G21" s="56" t="s">
        <v>80</v>
      </c>
    </row>
    <row r="22">
      <c r="B22" s="24" t="s">
        <v>55</v>
      </c>
      <c r="C22" s="28">
        <v>250.0</v>
      </c>
      <c r="D22" s="28" t="s">
        <v>81</v>
      </c>
      <c r="E22" s="74">
        <f t="shared" ref="E22:E24" si="1">D15</f>
        <v>38000</v>
      </c>
      <c r="F22" s="74">
        <v>9625.0</v>
      </c>
      <c r="G22" s="82">
        <f>'Giả định chi phí'!L24</f>
        <v>38500</v>
      </c>
    </row>
    <row r="23">
      <c r="B23" s="24" t="s">
        <v>83</v>
      </c>
      <c r="C23" s="28">
        <v>250.0</v>
      </c>
      <c r="D23" s="28" t="s">
        <v>81</v>
      </c>
      <c r="E23" s="74">
        <f t="shared" si="1"/>
        <v>46000</v>
      </c>
      <c r="F23" s="74">
        <v>9625.0</v>
      </c>
      <c r="G23" s="82">
        <f>'Giả định chi phí'!L25</f>
        <v>38500</v>
      </c>
    </row>
    <row r="24">
      <c r="B24" s="24" t="s">
        <v>89</v>
      </c>
      <c r="C24" s="28">
        <v>250.0</v>
      </c>
      <c r="D24" s="28" t="s">
        <v>81</v>
      </c>
      <c r="E24" s="74">
        <f t="shared" si="1"/>
        <v>18000</v>
      </c>
      <c r="F24" s="74">
        <v>7125.0</v>
      </c>
      <c r="G24" s="82">
        <f>'Giả định chi phí'!L26</f>
        <v>25800</v>
      </c>
    </row>
    <row r="25">
      <c r="B25" s="89" t="s">
        <v>91</v>
      </c>
      <c r="C25" s="90">
        <v>750.0</v>
      </c>
      <c r="D25" s="90" t="s">
        <v>93</v>
      </c>
      <c r="E25" s="92">
        <f t="shared" ref="E25:F25" si="2">SUM(E22:E24)</f>
        <v>102000</v>
      </c>
      <c r="F25" s="92">
        <f t="shared" si="2"/>
        <v>26375</v>
      </c>
      <c r="G25" s="90"/>
    </row>
    <row r="26">
      <c r="B26" s="30" t="s">
        <v>96</v>
      </c>
      <c r="C26" s="10"/>
      <c r="D26" s="10"/>
      <c r="E26" s="5"/>
      <c r="F26" s="96">
        <f>(F25/E25)</f>
        <v>0.2585784314</v>
      </c>
      <c r="G26" s="99"/>
    </row>
    <row r="29">
      <c r="B29" s="102" t="s">
        <v>99</v>
      </c>
    </row>
    <row r="30">
      <c r="B30" s="13" t="s">
        <v>100</v>
      </c>
      <c r="C30" s="61">
        <v>2000000.0</v>
      </c>
      <c r="D30" s="104" t="s">
        <v>101</v>
      </c>
      <c r="E30" s="5"/>
    </row>
    <row r="33">
      <c r="B33" s="8" t="s">
        <v>102</v>
      </c>
      <c r="C33" s="10"/>
      <c r="D33" s="10"/>
      <c r="E33" s="10"/>
      <c r="F33" s="10"/>
      <c r="G33" s="10"/>
      <c r="H33" s="10"/>
      <c r="I33" s="10"/>
      <c r="J33" s="10"/>
      <c r="K33" s="10"/>
      <c r="L33" s="10"/>
      <c r="M33" s="10"/>
      <c r="N33" s="10"/>
      <c r="O33" s="5"/>
    </row>
    <row r="34">
      <c r="B34" s="15" t="s">
        <v>8</v>
      </c>
      <c r="C34" s="15" t="s">
        <v>104</v>
      </c>
      <c r="D34" s="15" t="s">
        <v>105</v>
      </c>
      <c r="E34" s="15" t="s">
        <v>106</v>
      </c>
      <c r="F34" s="15" t="s">
        <v>107</v>
      </c>
      <c r="G34" s="15" t="s">
        <v>108</v>
      </c>
      <c r="H34" s="15" t="s">
        <v>109</v>
      </c>
      <c r="I34" s="15" t="s">
        <v>110</v>
      </c>
      <c r="J34" s="15" t="s">
        <v>111</v>
      </c>
      <c r="K34" s="15" t="s">
        <v>112</v>
      </c>
      <c r="L34" s="15" t="s">
        <v>113</v>
      </c>
      <c r="M34" s="15" t="s">
        <v>114</v>
      </c>
      <c r="N34" s="15" t="s">
        <v>115</v>
      </c>
      <c r="O34" s="15" t="s">
        <v>116</v>
      </c>
    </row>
    <row r="35">
      <c r="B35" s="24" t="s">
        <v>117</v>
      </c>
      <c r="C35" s="28">
        <v>600.0</v>
      </c>
      <c r="D35" s="28">
        <v>650.0</v>
      </c>
      <c r="E35" s="28">
        <v>650.0</v>
      </c>
      <c r="F35" s="28">
        <v>650.0</v>
      </c>
      <c r="G35" s="28">
        <v>650.0</v>
      </c>
      <c r="H35" s="28">
        <v>650.0</v>
      </c>
      <c r="I35" s="28">
        <v>650.0</v>
      </c>
      <c r="J35" s="28">
        <v>650.0</v>
      </c>
      <c r="K35" s="28">
        <v>650.0</v>
      </c>
      <c r="L35" s="28">
        <v>650.0</v>
      </c>
      <c r="M35" s="28">
        <v>650.0</v>
      </c>
      <c r="N35" s="28">
        <v>650.0</v>
      </c>
      <c r="O35" s="113">
        <f t="shared" ref="O35:O38" si="4">SUM(C35:N35)</f>
        <v>7750</v>
      </c>
    </row>
    <row r="36">
      <c r="B36" s="24" t="s">
        <v>119</v>
      </c>
      <c r="C36" s="74">
        <f t="shared" ref="C36:N36" si="3">C35*$E$22</f>
        <v>22800000</v>
      </c>
      <c r="D36" s="74">
        <f t="shared" si="3"/>
        <v>24700000</v>
      </c>
      <c r="E36" s="74">
        <f t="shared" si="3"/>
        <v>24700000</v>
      </c>
      <c r="F36" s="74">
        <f t="shared" si="3"/>
        <v>24700000</v>
      </c>
      <c r="G36" s="74">
        <f t="shared" si="3"/>
        <v>24700000</v>
      </c>
      <c r="H36" s="74">
        <f t="shared" si="3"/>
        <v>24700000</v>
      </c>
      <c r="I36" s="74">
        <f t="shared" si="3"/>
        <v>24700000</v>
      </c>
      <c r="J36" s="74">
        <f t="shared" si="3"/>
        <v>24700000</v>
      </c>
      <c r="K36" s="74">
        <f t="shared" si="3"/>
        <v>24700000</v>
      </c>
      <c r="L36" s="74">
        <f t="shared" si="3"/>
        <v>24700000</v>
      </c>
      <c r="M36" s="74">
        <f t="shared" si="3"/>
        <v>24700000</v>
      </c>
      <c r="N36" s="74">
        <f t="shared" si="3"/>
        <v>24700000</v>
      </c>
      <c r="O36" s="126">
        <f t="shared" si="4"/>
        <v>294500000</v>
      </c>
    </row>
    <row r="37">
      <c r="B37" s="24" t="s">
        <v>135</v>
      </c>
      <c r="C37" s="74">
        <f t="shared" ref="C37:N37" si="5">C35*$E$23</f>
        <v>27600000</v>
      </c>
      <c r="D37" s="74">
        <f t="shared" si="5"/>
        <v>29900000</v>
      </c>
      <c r="E37" s="74">
        <f t="shared" si="5"/>
        <v>29900000</v>
      </c>
      <c r="F37" s="74">
        <f t="shared" si="5"/>
        <v>29900000</v>
      </c>
      <c r="G37" s="74">
        <f t="shared" si="5"/>
        <v>29900000</v>
      </c>
      <c r="H37" s="74">
        <f t="shared" si="5"/>
        <v>29900000</v>
      </c>
      <c r="I37" s="74">
        <f t="shared" si="5"/>
        <v>29900000</v>
      </c>
      <c r="J37" s="74">
        <f t="shared" si="5"/>
        <v>29900000</v>
      </c>
      <c r="K37" s="74">
        <f t="shared" si="5"/>
        <v>29900000</v>
      </c>
      <c r="L37" s="74">
        <f t="shared" si="5"/>
        <v>29900000</v>
      </c>
      <c r="M37" s="74">
        <f t="shared" si="5"/>
        <v>29900000</v>
      </c>
      <c r="N37" s="74">
        <f t="shared" si="5"/>
        <v>29900000</v>
      </c>
      <c r="O37" s="126">
        <f t="shared" si="4"/>
        <v>356500000</v>
      </c>
    </row>
    <row r="38">
      <c r="B38" s="24" t="s">
        <v>142</v>
      </c>
      <c r="C38" s="74">
        <f t="shared" ref="C38:N38" si="6">C35*$E$24</f>
        <v>10800000</v>
      </c>
      <c r="D38" s="74">
        <f t="shared" si="6"/>
        <v>11700000</v>
      </c>
      <c r="E38" s="74">
        <f t="shared" si="6"/>
        <v>11700000</v>
      </c>
      <c r="F38" s="74">
        <f t="shared" si="6"/>
        <v>11700000</v>
      </c>
      <c r="G38" s="74">
        <f t="shared" si="6"/>
        <v>11700000</v>
      </c>
      <c r="H38" s="74">
        <f t="shared" si="6"/>
        <v>11700000</v>
      </c>
      <c r="I38" s="74">
        <f t="shared" si="6"/>
        <v>11700000</v>
      </c>
      <c r="J38" s="74">
        <f t="shared" si="6"/>
        <v>11700000</v>
      </c>
      <c r="K38" s="74">
        <f t="shared" si="6"/>
        <v>11700000</v>
      </c>
      <c r="L38" s="74">
        <f t="shared" si="6"/>
        <v>11700000</v>
      </c>
      <c r="M38" s="74">
        <f t="shared" si="6"/>
        <v>11700000</v>
      </c>
      <c r="N38" s="74">
        <f t="shared" si="6"/>
        <v>11700000</v>
      </c>
      <c r="O38" s="126">
        <f t="shared" si="4"/>
        <v>139500000</v>
      </c>
    </row>
    <row r="39">
      <c r="B39" s="89" t="s">
        <v>150</v>
      </c>
      <c r="C39" s="92">
        <f t="shared" ref="C39:O39" si="7">sum(C36:C38)</f>
        <v>61200000</v>
      </c>
      <c r="D39" s="92">
        <f t="shared" si="7"/>
        <v>66300000</v>
      </c>
      <c r="E39" s="92">
        <f t="shared" si="7"/>
        <v>66300000</v>
      </c>
      <c r="F39" s="92">
        <f t="shared" si="7"/>
        <v>66300000</v>
      </c>
      <c r="G39" s="92">
        <f t="shared" si="7"/>
        <v>66300000</v>
      </c>
      <c r="H39" s="92">
        <f t="shared" si="7"/>
        <v>66300000</v>
      </c>
      <c r="I39" s="92">
        <f t="shared" si="7"/>
        <v>66300000</v>
      </c>
      <c r="J39" s="92">
        <f t="shared" si="7"/>
        <v>66300000</v>
      </c>
      <c r="K39" s="92">
        <f t="shared" si="7"/>
        <v>66300000</v>
      </c>
      <c r="L39" s="92">
        <f t="shared" si="7"/>
        <v>66300000</v>
      </c>
      <c r="M39" s="92">
        <f t="shared" si="7"/>
        <v>66300000</v>
      </c>
      <c r="N39" s="92">
        <f t="shared" si="7"/>
        <v>66300000</v>
      </c>
      <c r="O39" s="92">
        <f t="shared" si="7"/>
        <v>790500000</v>
      </c>
    </row>
    <row r="40">
      <c r="B40" s="24" t="s">
        <v>155</v>
      </c>
      <c r="C40" s="74">
        <v>2000000.0</v>
      </c>
      <c r="D40" s="28" t="s">
        <v>156</v>
      </c>
      <c r="E40" s="28" t="s">
        <v>156</v>
      </c>
      <c r="F40" s="28" t="s">
        <v>156</v>
      </c>
      <c r="G40" s="28" t="s">
        <v>156</v>
      </c>
      <c r="H40" s="28" t="s">
        <v>156</v>
      </c>
      <c r="I40" s="28" t="s">
        <v>156</v>
      </c>
      <c r="J40" s="28" t="s">
        <v>156</v>
      </c>
      <c r="K40" s="28" t="s">
        <v>156</v>
      </c>
      <c r="L40" s="28" t="s">
        <v>156</v>
      </c>
      <c r="M40" s="28" t="s">
        <v>156</v>
      </c>
      <c r="N40" s="28" t="s">
        <v>156</v>
      </c>
      <c r="O40" s="28" t="s">
        <v>156</v>
      </c>
    </row>
    <row r="41">
      <c r="B41" s="89" t="s">
        <v>157</v>
      </c>
      <c r="C41" s="92">
        <f>C39-C40</f>
        <v>59200000</v>
      </c>
      <c r="D41" s="92">
        <f t="shared" ref="D41:O41" si="8">D39</f>
        <v>66300000</v>
      </c>
      <c r="E41" s="92">
        <f t="shared" si="8"/>
        <v>66300000</v>
      </c>
      <c r="F41" s="92">
        <f t="shared" si="8"/>
        <v>66300000</v>
      </c>
      <c r="G41" s="92">
        <f t="shared" si="8"/>
        <v>66300000</v>
      </c>
      <c r="H41" s="92">
        <f t="shared" si="8"/>
        <v>66300000</v>
      </c>
      <c r="I41" s="92">
        <f t="shared" si="8"/>
        <v>66300000</v>
      </c>
      <c r="J41" s="92">
        <f t="shared" si="8"/>
        <v>66300000</v>
      </c>
      <c r="K41" s="92">
        <f t="shared" si="8"/>
        <v>66300000</v>
      </c>
      <c r="L41" s="92">
        <f t="shared" si="8"/>
        <v>66300000</v>
      </c>
      <c r="M41" s="92">
        <f t="shared" si="8"/>
        <v>66300000</v>
      </c>
      <c r="N41" s="92">
        <f t="shared" si="8"/>
        <v>66300000</v>
      </c>
      <c r="O41" s="92">
        <f t="shared" si="8"/>
        <v>790500000</v>
      </c>
    </row>
    <row r="42">
      <c r="B42" s="24" t="s">
        <v>169</v>
      </c>
      <c r="C42" s="28">
        <f t="shared" ref="C42:N42" si="9">(C35*$C$22)/1000</f>
        <v>150</v>
      </c>
      <c r="D42" s="28">
        <f t="shared" si="9"/>
        <v>162.5</v>
      </c>
      <c r="E42" s="28">
        <f t="shared" si="9"/>
        <v>162.5</v>
      </c>
      <c r="F42" s="28">
        <f t="shared" si="9"/>
        <v>162.5</v>
      </c>
      <c r="G42" s="28">
        <f t="shared" si="9"/>
        <v>162.5</v>
      </c>
      <c r="H42" s="28">
        <f t="shared" si="9"/>
        <v>162.5</v>
      </c>
      <c r="I42" s="28">
        <f t="shared" si="9"/>
        <v>162.5</v>
      </c>
      <c r="J42" s="28">
        <f t="shared" si="9"/>
        <v>162.5</v>
      </c>
      <c r="K42" s="28">
        <f t="shared" si="9"/>
        <v>162.5</v>
      </c>
      <c r="L42" s="28">
        <f t="shared" si="9"/>
        <v>162.5</v>
      </c>
      <c r="M42" s="28">
        <f t="shared" si="9"/>
        <v>162.5</v>
      </c>
      <c r="N42" s="28">
        <f t="shared" si="9"/>
        <v>162.5</v>
      </c>
      <c r="O42" s="113">
        <f t="shared" ref="O42:O44" si="11">SUM(C42:N42)</f>
        <v>1937.5</v>
      </c>
    </row>
    <row r="43">
      <c r="B43" s="24" t="s">
        <v>177</v>
      </c>
      <c r="C43" s="28">
        <f t="shared" ref="C43:N43" si="10">(C35*$C$23)/1000</f>
        <v>150</v>
      </c>
      <c r="D43" s="28">
        <f t="shared" si="10"/>
        <v>162.5</v>
      </c>
      <c r="E43" s="28">
        <f t="shared" si="10"/>
        <v>162.5</v>
      </c>
      <c r="F43" s="28">
        <f t="shared" si="10"/>
        <v>162.5</v>
      </c>
      <c r="G43" s="28">
        <f t="shared" si="10"/>
        <v>162.5</v>
      </c>
      <c r="H43" s="28">
        <f t="shared" si="10"/>
        <v>162.5</v>
      </c>
      <c r="I43" s="28">
        <f t="shared" si="10"/>
        <v>162.5</v>
      </c>
      <c r="J43" s="28">
        <f t="shared" si="10"/>
        <v>162.5</v>
      </c>
      <c r="K43" s="28">
        <f t="shared" si="10"/>
        <v>162.5</v>
      </c>
      <c r="L43" s="28">
        <f t="shared" si="10"/>
        <v>162.5</v>
      </c>
      <c r="M43" s="28">
        <f t="shared" si="10"/>
        <v>162.5</v>
      </c>
      <c r="N43" s="28">
        <f t="shared" si="10"/>
        <v>162.5</v>
      </c>
      <c r="O43" s="113">
        <f t="shared" si="11"/>
        <v>1937.5</v>
      </c>
    </row>
    <row r="44">
      <c r="B44" s="24" t="s">
        <v>186</v>
      </c>
      <c r="C44" s="28">
        <f t="shared" ref="C44:N44" si="12">(C35*$C$24)/1000</f>
        <v>150</v>
      </c>
      <c r="D44" s="28">
        <f t="shared" si="12"/>
        <v>162.5</v>
      </c>
      <c r="E44" s="28">
        <f t="shared" si="12"/>
        <v>162.5</v>
      </c>
      <c r="F44" s="28">
        <f t="shared" si="12"/>
        <v>162.5</v>
      </c>
      <c r="G44" s="28">
        <f t="shared" si="12"/>
        <v>162.5</v>
      </c>
      <c r="H44" s="28">
        <f t="shared" si="12"/>
        <v>162.5</v>
      </c>
      <c r="I44" s="28">
        <f t="shared" si="12"/>
        <v>162.5</v>
      </c>
      <c r="J44" s="28">
        <f t="shared" si="12"/>
        <v>162.5</v>
      </c>
      <c r="K44" s="28">
        <f t="shared" si="12"/>
        <v>162.5</v>
      </c>
      <c r="L44" s="28">
        <f t="shared" si="12"/>
        <v>162.5</v>
      </c>
      <c r="M44" s="28">
        <f t="shared" si="12"/>
        <v>162.5</v>
      </c>
      <c r="N44" s="28">
        <f t="shared" si="12"/>
        <v>162.5</v>
      </c>
      <c r="O44" s="113">
        <f t="shared" si="11"/>
        <v>1937.5</v>
      </c>
    </row>
    <row r="45">
      <c r="B45" s="24" t="s">
        <v>188</v>
      </c>
      <c r="C45" s="74">
        <f t="shared" ref="C45:O45" si="13">C42*$G$22</f>
        <v>5775000</v>
      </c>
      <c r="D45" s="74">
        <f t="shared" si="13"/>
        <v>6256250</v>
      </c>
      <c r="E45" s="74">
        <f t="shared" si="13"/>
        <v>6256250</v>
      </c>
      <c r="F45" s="74">
        <f t="shared" si="13"/>
        <v>6256250</v>
      </c>
      <c r="G45" s="74">
        <f t="shared" si="13"/>
        <v>6256250</v>
      </c>
      <c r="H45" s="74">
        <f t="shared" si="13"/>
        <v>6256250</v>
      </c>
      <c r="I45" s="74">
        <f t="shared" si="13"/>
        <v>6256250</v>
      </c>
      <c r="J45" s="74">
        <f t="shared" si="13"/>
        <v>6256250</v>
      </c>
      <c r="K45" s="74">
        <f t="shared" si="13"/>
        <v>6256250</v>
      </c>
      <c r="L45" s="74">
        <f t="shared" si="13"/>
        <v>6256250</v>
      </c>
      <c r="M45" s="74">
        <f t="shared" si="13"/>
        <v>6256250</v>
      </c>
      <c r="N45" s="74">
        <f t="shared" si="13"/>
        <v>6256250</v>
      </c>
      <c r="O45" s="126">
        <f t="shared" si="13"/>
        <v>74593750</v>
      </c>
    </row>
    <row r="46">
      <c r="B46" s="24" t="s">
        <v>193</v>
      </c>
      <c r="C46" s="74">
        <f t="shared" ref="C46:O46" si="14">C43*$G$23</f>
        <v>5775000</v>
      </c>
      <c r="D46" s="74">
        <f t="shared" si="14"/>
        <v>6256250</v>
      </c>
      <c r="E46" s="74">
        <f t="shared" si="14"/>
        <v>6256250</v>
      </c>
      <c r="F46" s="74">
        <f t="shared" si="14"/>
        <v>6256250</v>
      </c>
      <c r="G46" s="74">
        <f t="shared" si="14"/>
        <v>6256250</v>
      </c>
      <c r="H46" s="74">
        <f t="shared" si="14"/>
        <v>6256250</v>
      </c>
      <c r="I46" s="74">
        <f t="shared" si="14"/>
        <v>6256250</v>
      </c>
      <c r="J46" s="74">
        <f t="shared" si="14"/>
        <v>6256250</v>
      </c>
      <c r="K46" s="74">
        <f t="shared" si="14"/>
        <v>6256250</v>
      </c>
      <c r="L46" s="74">
        <f t="shared" si="14"/>
        <v>6256250</v>
      </c>
      <c r="M46" s="74">
        <f t="shared" si="14"/>
        <v>6256250</v>
      </c>
      <c r="N46" s="74">
        <f t="shared" si="14"/>
        <v>6256250</v>
      </c>
      <c r="O46" s="126">
        <f t="shared" si="14"/>
        <v>74593750</v>
      </c>
    </row>
    <row r="47">
      <c r="B47" s="24" t="s">
        <v>199</v>
      </c>
      <c r="C47" s="74">
        <f t="shared" ref="C47:O47" si="15">C44*$G$24</f>
        <v>3870000</v>
      </c>
      <c r="D47" s="74">
        <f t="shared" si="15"/>
        <v>4192500</v>
      </c>
      <c r="E47" s="74">
        <f t="shared" si="15"/>
        <v>4192500</v>
      </c>
      <c r="F47" s="74">
        <f t="shared" si="15"/>
        <v>4192500</v>
      </c>
      <c r="G47" s="74">
        <f t="shared" si="15"/>
        <v>4192500</v>
      </c>
      <c r="H47" s="74">
        <f t="shared" si="15"/>
        <v>4192500</v>
      </c>
      <c r="I47" s="74">
        <f t="shared" si="15"/>
        <v>4192500</v>
      </c>
      <c r="J47" s="74">
        <f t="shared" si="15"/>
        <v>4192500</v>
      </c>
      <c r="K47" s="74">
        <f t="shared" si="15"/>
        <v>4192500</v>
      </c>
      <c r="L47" s="74">
        <f t="shared" si="15"/>
        <v>4192500</v>
      </c>
      <c r="M47" s="74">
        <f t="shared" si="15"/>
        <v>4192500</v>
      </c>
      <c r="N47" s="74">
        <f t="shared" si="15"/>
        <v>4192500</v>
      </c>
      <c r="O47" s="126">
        <f t="shared" si="15"/>
        <v>49987500</v>
      </c>
    </row>
    <row r="48">
      <c r="B48" s="89" t="s">
        <v>203</v>
      </c>
      <c r="C48" s="92">
        <f t="shared" ref="C48:O48" si="16">sum(C45:C47)</f>
        <v>15420000</v>
      </c>
      <c r="D48" s="92">
        <f t="shared" si="16"/>
        <v>16705000</v>
      </c>
      <c r="E48" s="92">
        <f t="shared" si="16"/>
        <v>16705000</v>
      </c>
      <c r="F48" s="92">
        <f t="shared" si="16"/>
        <v>16705000</v>
      </c>
      <c r="G48" s="92">
        <f t="shared" si="16"/>
        <v>16705000</v>
      </c>
      <c r="H48" s="92">
        <f t="shared" si="16"/>
        <v>16705000</v>
      </c>
      <c r="I48" s="92">
        <f t="shared" si="16"/>
        <v>16705000</v>
      </c>
      <c r="J48" s="92">
        <f t="shared" si="16"/>
        <v>16705000</v>
      </c>
      <c r="K48" s="92">
        <f t="shared" si="16"/>
        <v>16705000</v>
      </c>
      <c r="L48" s="92">
        <f t="shared" si="16"/>
        <v>16705000</v>
      </c>
      <c r="M48" s="92">
        <f t="shared" si="16"/>
        <v>16705000</v>
      </c>
      <c r="N48" s="92">
        <f t="shared" si="16"/>
        <v>16705000</v>
      </c>
      <c r="O48" s="92">
        <f t="shared" si="16"/>
        <v>199175000</v>
      </c>
    </row>
    <row r="51">
      <c r="B51" s="8" t="s">
        <v>204</v>
      </c>
      <c r="C51" s="10"/>
      <c r="D51" s="10"/>
      <c r="E51" s="10"/>
      <c r="F51" s="10"/>
      <c r="G51" s="5"/>
    </row>
    <row r="52">
      <c r="B52" s="15" t="s">
        <v>8</v>
      </c>
      <c r="C52" s="15" t="s">
        <v>116</v>
      </c>
      <c r="D52" s="15" t="s">
        <v>141</v>
      </c>
      <c r="E52" s="15" t="s">
        <v>143</v>
      </c>
      <c r="F52" s="15" t="s">
        <v>144</v>
      </c>
      <c r="G52" s="15" t="s">
        <v>145</v>
      </c>
    </row>
    <row r="53">
      <c r="B53" s="24" t="s">
        <v>206</v>
      </c>
      <c r="C53" s="172">
        <f>O35/12</f>
        <v>645.8333333</v>
      </c>
      <c r="D53" s="172">
        <f t="shared" ref="D53:G53" si="17">C53*(1+$C$6)</f>
        <v>710.4166667</v>
      </c>
      <c r="E53" s="172">
        <f t="shared" si="17"/>
        <v>781.4583333</v>
      </c>
      <c r="F53" s="172">
        <f t="shared" si="17"/>
        <v>859.6041667</v>
      </c>
      <c r="G53" s="172">
        <f t="shared" si="17"/>
        <v>945.5645833</v>
      </c>
    </row>
    <row r="54">
      <c r="B54" s="24" t="s">
        <v>207</v>
      </c>
      <c r="C54" s="28">
        <f t="shared" ref="C54:C57" si="19">O35</f>
        <v>7750</v>
      </c>
      <c r="D54" s="172">
        <f t="shared" ref="D54:G54" si="18">C54*(1+$C$6)</f>
        <v>8525</v>
      </c>
      <c r="E54" s="172">
        <f t="shared" si="18"/>
        <v>9377.5</v>
      </c>
      <c r="F54" s="172">
        <f t="shared" si="18"/>
        <v>10315.25</v>
      </c>
      <c r="G54" s="172">
        <f t="shared" si="18"/>
        <v>11346.775</v>
      </c>
    </row>
    <row r="55">
      <c r="B55" s="24" t="s">
        <v>119</v>
      </c>
      <c r="C55" s="74">
        <f t="shared" si="19"/>
        <v>294500000</v>
      </c>
      <c r="D55" s="74">
        <f t="shared" ref="D55:G55" si="20">C55*(1+$C$8)</f>
        <v>332785000</v>
      </c>
      <c r="E55" s="74">
        <f t="shared" si="20"/>
        <v>376047050</v>
      </c>
      <c r="F55" s="74">
        <f t="shared" si="20"/>
        <v>424933166.5</v>
      </c>
      <c r="G55" s="74">
        <f t="shared" si="20"/>
        <v>480174478.1</v>
      </c>
    </row>
    <row r="56">
      <c r="B56" s="24" t="s">
        <v>135</v>
      </c>
      <c r="C56" s="74">
        <f t="shared" si="19"/>
        <v>356500000</v>
      </c>
      <c r="D56" s="74">
        <f t="shared" ref="D56:G56" si="21">C56*(1+$C$8)</f>
        <v>402845000</v>
      </c>
      <c r="E56" s="74">
        <f t="shared" si="21"/>
        <v>455214850</v>
      </c>
      <c r="F56" s="74">
        <f t="shared" si="21"/>
        <v>514392780.5</v>
      </c>
      <c r="G56" s="74">
        <f t="shared" si="21"/>
        <v>581263842</v>
      </c>
    </row>
    <row r="57">
      <c r="B57" s="24" t="s">
        <v>142</v>
      </c>
      <c r="C57" s="74">
        <f t="shared" si="19"/>
        <v>139500000</v>
      </c>
      <c r="D57" s="74">
        <f t="shared" ref="D57:G57" si="22">C57*(1+$C$8)</f>
        <v>157635000</v>
      </c>
      <c r="E57" s="74">
        <f t="shared" si="22"/>
        <v>178127550</v>
      </c>
      <c r="F57" s="74">
        <f t="shared" si="22"/>
        <v>201284131.5</v>
      </c>
      <c r="G57" s="74">
        <f t="shared" si="22"/>
        <v>227451068.6</v>
      </c>
    </row>
    <row r="58">
      <c r="B58" s="89" t="s">
        <v>150</v>
      </c>
      <c r="C58" s="92">
        <f t="shared" ref="C58:G58" si="23">SUM(C55:C57)</f>
        <v>790500000</v>
      </c>
      <c r="D58" s="92">
        <f t="shared" si="23"/>
        <v>893265000</v>
      </c>
      <c r="E58" s="92">
        <f t="shared" si="23"/>
        <v>1009389450</v>
      </c>
      <c r="F58" s="92">
        <f t="shared" si="23"/>
        <v>1140610079</v>
      </c>
      <c r="G58" s="92">
        <f t="shared" si="23"/>
        <v>1288889389</v>
      </c>
    </row>
    <row r="59">
      <c r="B59" s="24" t="s">
        <v>155</v>
      </c>
      <c r="C59" s="74">
        <f>C40</f>
        <v>2000000</v>
      </c>
      <c r="D59" s="28" t="s">
        <v>156</v>
      </c>
      <c r="E59" s="28" t="s">
        <v>156</v>
      </c>
      <c r="F59" s="28" t="s">
        <v>156</v>
      </c>
      <c r="G59" s="28" t="s">
        <v>156</v>
      </c>
    </row>
    <row r="60">
      <c r="B60" s="89" t="s">
        <v>157</v>
      </c>
      <c r="C60" s="92">
        <f>C58-C59</f>
        <v>788500000</v>
      </c>
      <c r="D60" s="92">
        <f t="shared" ref="D60:G60" si="24">D58</f>
        <v>893265000</v>
      </c>
      <c r="E60" s="92">
        <f t="shared" si="24"/>
        <v>1009389450</v>
      </c>
      <c r="F60" s="92">
        <f t="shared" si="24"/>
        <v>1140610079</v>
      </c>
      <c r="G60" s="92">
        <f t="shared" si="24"/>
        <v>1288889389</v>
      </c>
    </row>
    <row r="61">
      <c r="B61" s="24" t="s">
        <v>169</v>
      </c>
      <c r="C61" s="28">
        <f t="shared" ref="C61:C66" si="26">O42</f>
        <v>1937.5</v>
      </c>
      <c r="D61" s="197">
        <f t="shared" ref="D61:G61" si="25">(D54*$C$22)/1000</f>
        <v>2131.25</v>
      </c>
      <c r="E61" s="197">
        <f t="shared" si="25"/>
        <v>2344.375</v>
      </c>
      <c r="F61" s="197">
        <f t="shared" si="25"/>
        <v>2578.8125</v>
      </c>
      <c r="G61" s="197">
        <f t="shared" si="25"/>
        <v>2836.69375</v>
      </c>
    </row>
    <row r="62">
      <c r="B62" s="24" t="s">
        <v>177</v>
      </c>
      <c r="C62" s="28">
        <f t="shared" si="26"/>
        <v>1937.5</v>
      </c>
      <c r="D62" s="197">
        <f t="shared" ref="D62:G62" si="27">(D54*$C$23)/1000</f>
        <v>2131.25</v>
      </c>
      <c r="E62" s="197">
        <f t="shared" si="27"/>
        <v>2344.375</v>
      </c>
      <c r="F62" s="197">
        <f t="shared" si="27"/>
        <v>2578.8125</v>
      </c>
      <c r="G62" s="197">
        <f t="shared" si="27"/>
        <v>2836.69375</v>
      </c>
    </row>
    <row r="63">
      <c r="B63" s="24" t="s">
        <v>186</v>
      </c>
      <c r="C63" s="28">
        <f t="shared" si="26"/>
        <v>1937.5</v>
      </c>
      <c r="D63" s="197">
        <f t="shared" ref="D63:G63" si="28">(D54*$C$24)/1000</f>
        <v>2131.25</v>
      </c>
      <c r="E63" s="197">
        <f t="shared" si="28"/>
        <v>2344.375</v>
      </c>
      <c r="F63" s="197">
        <f t="shared" si="28"/>
        <v>2578.8125</v>
      </c>
      <c r="G63" s="197">
        <f t="shared" si="28"/>
        <v>2836.69375</v>
      </c>
    </row>
    <row r="64">
      <c r="B64" s="24" t="s">
        <v>188</v>
      </c>
      <c r="C64" s="74">
        <f t="shared" si="26"/>
        <v>74593750</v>
      </c>
      <c r="D64" s="74">
        <f t="shared" ref="D64:G64" si="29">D61*$G$22*(1+$C$7)</f>
        <v>84514718.75</v>
      </c>
      <c r="E64" s="74">
        <f t="shared" si="29"/>
        <v>92966190.63</v>
      </c>
      <c r="F64" s="74">
        <f t="shared" si="29"/>
        <v>102262809.7</v>
      </c>
      <c r="G64" s="74">
        <f t="shared" si="29"/>
        <v>112489090.7</v>
      </c>
    </row>
    <row r="65">
      <c r="B65" s="24" t="s">
        <v>193</v>
      </c>
      <c r="C65" s="74">
        <f t="shared" si="26"/>
        <v>74593750</v>
      </c>
      <c r="D65" s="74">
        <f t="shared" ref="D65:G65" si="30">D62*$G$23*(1+$C$7)</f>
        <v>84514718.75</v>
      </c>
      <c r="E65" s="74">
        <f t="shared" si="30"/>
        <v>92966190.63</v>
      </c>
      <c r="F65" s="74">
        <f t="shared" si="30"/>
        <v>102262809.7</v>
      </c>
      <c r="G65" s="74">
        <f t="shared" si="30"/>
        <v>112489090.7</v>
      </c>
    </row>
    <row r="66">
      <c r="B66" s="24" t="s">
        <v>199</v>
      </c>
      <c r="C66" s="74">
        <f t="shared" si="26"/>
        <v>49987500</v>
      </c>
      <c r="D66" s="74">
        <f t="shared" ref="D66:G66" si="31">D63*$G$24*(1+$C$7)</f>
        <v>56635837.5</v>
      </c>
      <c r="E66" s="74">
        <f t="shared" si="31"/>
        <v>62299421.25</v>
      </c>
      <c r="F66" s="74">
        <f t="shared" si="31"/>
        <v>68529363.38</v>
      </c>
      <c r="G66" s="74">
        <f t="shared" si="31"/>
        <v>75382299.71</v>
      </c>
    </row>
    <row r="67">
      <c r="B67" s="89" t="s">
        <v>203</v>
      </c>
      <c r="C67" s="92">
        <f t="shared" ref="C67:G67" si="32">sum(C64:C66)</f>
        <v>199175000</v>
      </c>
      <c r="D67" s="92">
        <f t="shared" si="32"/>
        <v>225665275</v>
      </c>
      <c r="E67" s="92">
        <f t="shared" si="32"/>
        <v>248231802.5</v>
      </c>
      <c r="F67" s="92">
        <f t="shared" si="32"/>
        <v>273054982.8</v>
      </c>
      <c r="G67" s="92">
        <f t="shared" si="32"/>
        <v>300360481</v>
      </c>
    </row>
    <row r="68">
      <c r="B68" s="24" t="s">
        <v>216</v>
      </c>
      <c r="C68" s="200"/>
      <c r="D68" s="96">
        <f t="shared" ref="D68:G68" si="33">((D60-C60)/C60)*100%</f>
        <v>0.1328662016</v>
      </c>
      <c r="E68" s="96">
        <f t="shared" si="33"/>
        <v>0.13</v>
      </c>
      <c r="F68" s="96">
        <f t="shared" si="33"/>
        <v>0.13</v>
      </c>
      <c r="G68" s="96">
        <f t="shared" si="33"/>
        <v>0.13</v>
      </c>
    </row>
  </sheetData>
  <mergeCells count="16">
    <mergeCell ref="B2:G2"/>
    <mergeCell ref="D3:G3"/>
    <mergeCell ref="D4:G4"/>
    <mergeCell ref="D5:G5"/>
    <mergeCell ref="D6:G6"/>
    <mergeCell ref="D7:G7"/>
    <mergeCell ref="D8:G8"/>
    <mergeCell ref="D30:E30"/>
    <mergeCell ref="B51:G51"/>
    <mergeCell ref="D9:G9"/>
    <mergeCell ref="D10:G10"/>
    <mergeCell ref="B13:E13"/>
    <mergeCell ref="B20:G20"/>
    <mergeCell ref="B26:E26"/>
    <mergeCell ref="B29:E29"/>
    <mergeCell ref="B33:O3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35.5"/>
    <col customWidth="1" min="3" max="3" width="51.38"/>
    <col customWidth="1" min="4" max="5" width="34.38"/>
    <col customWidth="1" min="6" max="6" width="23.75"/>
    <col customWidth="1" min="7" max="7" width="26.38"/>
    <col customWidth="1" min="8" max="8" width="19.75"/>
    <col customWidth="1" min="9" max="9" width="26.63"/>
    <col customWidth="1" min="10" max="10" width="15.5"/>
    <col customWidth="1" min="11" max="11" width="37.75"/>
    <col customWidth="1" min="12" max="12" width="11.25"/>
    <col customWidth="1" min="13" max="13" width="13.13"/>
    <col customWidth="1" min="14" max="14" width="30.5"/>
    <col customWidth="1" min="15" max="15" width="41.25"/>
    <col customWidth="1" min="16" max="16" width="40.63"/>
    <col customWidth="1" min="19" max="19" width="17.38"/>
    <col customWidth="1" min="20" max="20" width="17.5"/>
  </cols>
  <sheetData>
    <row r="1">
      <c r="A1" s="1"/>
      <c r="B1" s="2"/>
      <c r="C1" s="2"/>
      <c r="D1" s="2"/>
      <c r="E1" s="2"/>
      <c r="F1" s="9"/>
      <c r="G1" s="9"/>
      <c r="H1" s="9"/>
      <c r="I1" s="9"/>
      <c r="J1" s="9"/>
      <c r="K1" s="9"/>
      <c r="L1" s="9"/>
      <c r="M1" s="9"/>
      <c r="N1" s="9"/>
      <c r="O1" s="9"/>
      <c r="P1" s="9"/>
      <c r="Q1" s="9"/>
      <c r="R1" s="9"/>
      <c r="S1" s="9"/>
      <c r="T1" s="9"/>
      <c r="U1" s="9"/>
      <c r="V1" s="9"/>
      <c r="W1" s="9"/>
      <c r="X1" s="9"/>
      <c r="Y1" s="9"/>
      <c r="Z1" s="9"/>
    </row>
    <row r="2">
      <c r="A2" s="1"/>
      <c r="B2" s="2"/>
      <c r="C2" s="2"/>
      <c r="D2" s="2"/>
      <c r="E2" s="2"/>
      <c r="F2" s="9"/>
      <c r="G2" s="9"/>
      <c r="H2" s="9"/>
      <c r="I2" s="9"/>
      <c r="J2" s="9"/>
      <c r="K2" s="9"/>
      <c r="L2" s="9"/>
      <c r="M2" s="9"/>
      <c r="N2" s="9"/>
      <c r="O2" s="9"/>
      <c r="P2" s="9"/>
      <c r="Q2" s="9"/>
      <c r="R2" s="9"/>
      <c r="S2" s="9"/>
      <c r="T2" s="9"/>
      <c r="U2" s="9"/>
      <c r="V2" s="9"/>
      <c r="W2" s="9"/>
      <c r="X2" s="9"/>
      <c r="Y2" s="9"/>
      <c r="Z2" s="9"/>
    </row>
    <row r="3">
      <c r="A3" s="9"/>
      <c r="B3" s="32" t="s">
        <v>27</v>
      </c>
      <c r="C3" s="33"/>
      <c r="D3" s="33"/>
      <c r="E3" s="33"/>
      <c r="F3" s="14"/>
      <c r="G3" s="9"/>
      <c r="H3" s="9"/>
      <c r="I3" s="9"/>
      <c r="J3" s="9"/>
      <c r="K3" s="9"/>
      <c r="L3" s="9"/>
      <c r="M3" s="9"/>
      <c r="N3" s="9"/>
      <c r="O3" s="9"/>
      <c r="P3" s="9"/>
      <c r="Q3" s="9"/>
      <c r="R3" s="9"/>
      <c r="S3" s="9"/>
      <c r="T3" s="9"/>
      <c r="U3" s="9"/>
      <c r="V3" s="9"/>
      <c r="W3" s="9"/>
      <c r="X3" s="9"/>
      <c r="Y3" s="9"/>
      <c r="Z3" s="9"/>
    </row>
    <row r="4">
      <c r="A4" s="9"/>
      <c r="B4" s="25"/>
      <c r="C4" s="35"/>
      <c r="D4" s="35"/>
      <c r="E4" s="35"/>
      <c r="F4" s="21"/>
      <c r="G4" s="9"/>
      <c r="H4" s="9"/>
      <c r="I4" s="9"/>
      <c r="J4" s="9"/>
      <c r="K4" s="9"/>
      <c r="L4" s="9"/>
      <c r="M4" s="9"/>
      <c r="N4" s="9"/>
      <c r="O4" s="9"/>
      <c r="P4" s="9"/>
      <c r="Q4" s="9"/>
      <c r="R4" s="9"/>
      <c r="S4" s="9"/>
      <c r="T4" s="9"/>
      <c r="U4" s="9"/>
      <c r="V4" s="9"/>
      <c r="W4" s="9"/>
      <c r="X4" s="9"/>
      <c r="Y4" s="9"/>
      <c r="Z4" s="9"/>
    </row>
    <row r="5">
      <c r="A5" s="9"/>
      <c r="B5" s="40" t="s">
        <v>33</v>
      </c>
      <c r="C5" s="41" t="s">
        <v>35</v>
      </c>
      <c r="D5" s="5"/>
      <c r="E5" s="40" t="s">
        <v>38</v>
      </c>
      <c r="F5" s="43" t="s">
        <v>40</v>
      </c>
      <c r="G5" s="45" t="s">
        <v>43</v>
      </c>
      <c r="H5" s="9"/>
      <c r="I5" s="9"/>
      <c r="J5" s="9"/>
      <c r="K5" s="9"/>
      <c r="L5" s="9"/>
      <c r="M5" s="9"/>
      <c r="N5" s="9"/>
      <c r="O5" s="9"/>
      <c r="P5" s="9"/>
      <c r="Q5" s="9"/>
      <c r="R5" s="9"/>
      <c r="S5" s="9"/>
      <c r="T5" s="9"/>
      <c r="U5" s="9"/>
      <c r="V5" s="9"/>
      <c r="W5" s="9"/>
      <c r="X5" s="9"/>
      <c r="Y5" s="9"/>
      <c r="Z5" s="9"/>
    </row>
    <row r="6">
      <c r="A6" s="9"/>
      <c r="B6" s="47" t="s">
        <v>45</v>
      </c>
      <c r="C6" s="48" t="s">
        <v>46</v>
      </c>
      <c r="D6" s="5"/>
      <c r="E6" s="51">
        <v>1.0E7</v>
      </c>
      <c r="F6" s="61">
        <f t="shared" ref="F6:F10" si="1">E6*1.235</f>
        <v>12350000</v>
      </c>
      <c r="G6" s="63"/>
      <c r="H6" s="9"/>
      <c r="J6" s="9"/>
      <c r="K6" s="9"/>
      <c r="L6" s="9"/>
      <c r="M6" s="9"/>
      <c r="N6" s="9"/>
      <c r="O6" s="9"/>
      <c r="P6" s="9"/>
      <c r="Q6" s="9"/>
      <c r="R6" s="9"/>
      <c r="S6" s="9"/>
      <c r="T6" s="9"/>
      <c r="U6" s="9"/>
      <c r="V6" s="9"/>
      <c r="W6" s="9"/>
      <c r="X6" s="9"/>
      <c r="Y6" s="9"/>
      <c r="Z6" s="9"/>
    </row>
    <row r="7">
      <c r="A7" s="9"/>
      <c r="B7" s="47" t="s">
        <v>62</v>
      </c>
      <c r="C7" s="68" t="s">
        <v>63</v>
      </c>
      <c r="D7" s="5"/>
      <c r="E7" s="51">
        <v>7000000.0</v>
      </c>
      <c r="F7" s="61">
        <f t="shared" si="1"/>
        <v>8645000</v>
      </c>
      <c r="G7" s="70"/>
      <c r="H7" s="9"/>
      <c r="I7" s="9"/>
      <c r="J7" s="9"/>
      <c r="K7" s="9"/>
      <c r="L7" s="9"/>
      <c r="M7" s="9"/>
      <c r="N7" s="9"/>
      <c r="O7" s="9"/>
      <c r="P7" s="9"/>
      <c r="Q7" s="9"/>
      <c r="R7" s="9"/>
      <c r="S7" s="9"/>
      <c r="T7" s="9"/>
      <c r="U7" s="9"/>
      <c r="V7" s="9"/>
      <c r="W7" s="9"/>
      <c r="X7" s="9"/>
      <c r="Y7" s="9"/>
      <c r="Z7" s="9"/>
    </row>
    <row r="8">
      <c r="A8" s="9"/>
      <c r="B8" s="47" t="s">
        <v>66</v>
      </c>
      <c r="C8" s="48" t="s">
        <v>67</v>
      </c>
      <c r="D8" s="5"/>
      <c r="E8" s="51">
        <v>7000000.0</v>
      </c>
      <c r="F8" s="61">
        <f t="shared" si="1"/>
        <v>8645000</v>
      </c>
      <c r="G8" s="70"/>
      <c r="H8" s="9"/>
      <c r="I8" s="9"/>
      <c r="J8" s="9"/>
      <c r="K8" s="9"/>
      <c r="L8" s="9"/>
      <c r="M8" s="9"/>
      <c r="N8" s="9"/>
      <c r="O8" s="9"/>
      <c r="P8" s="9"/>
      <c r="Q8" s="9"/>
      <c r="R8" s="9"/>
      <c r="S8" s="9"/>
      <c r="T8" s="9"/>
      <c r="U8" s="9"/>
      <c r="V8" s="9"/>
      <c r="W8" s="9"/>
      <c r="X8" s="9"/>
      <c r="Y8" s="9"/>
      <c r="Z8" s="9"/>
    </row>
    <row r="9">
      <c r="A9" s="9"/>
      <c r="B9" s="47" t="s">
        <v>68</v>
      </c>
      <c r="C9" s="48" t="s">
        <v>69</v>
      </c>
      <c r="D9" s="5"/>
      <c r="E9" s="51">
        <v>6500000.0</v>
      </c>
      <c r="F9" s="61">
        <f t="shared" si="1"/>
        <v>8027500</v>
      </c>
      <c r="G9" s="70"/>
      <c r="H9" s="9"/>
      <c r="I9" s="9"/>
      <c r="J9" s="9"/>
      <c r="K9" s="9"/>
      <c r="L9" s="9"/>
      <c r="M9" s="9"/>
      <c r="N9" s="9"/>
      <c r="O9" s="9"/>
      <c r="P9" s="9"/>
      <c r="Q9" s="9"/>
      <c r="R9" s="9"/>
      <c r="S9" s="9"/>
      <c r="T9" s="9"/>
      <c r="U9" s="9"/>
      <c r="V9" s="9"/>
      <c r="W9" s="9"/>
      <c r="X9" s="9"/>
      <c r="Y9" s="9"/>
      <c r="Z9" s="9"/>
    </row>
    <row r="10">
      <c r="A10" s="9"/>
      <c r="B10" s="47" t="s">
        <v>70</v>
      </c>
      <c r="C10" s="48" t="s">
        <v>71</v>
      </c>
      <c r="D10" s="5"/>
      <c r="E10" s="51">
        <v>6500000.0</v>
      </c>
      <c r="F10" s="61">
        <f t="shared" si="1"/>
        <v>8027500</v>
      </c>
      <c r="G10" s="70"/>
      <c r="H10" s="9"/>
      <c r="I10" s="9"/>
      <c r="J10" s="9"/>
      <c r="K10" s="9"/>
      <c r="L10" s="9"/>
      <c r="M10" s="9"/>
      <c r="N10" s="9"/>
      <c r="O10" s="9"/>
      <c r="P10" s="9"/>
      <c r="Q10" s="9"/>
      <c r="R10" s="9"/>
      <c r="S10" s="9"/>
      <c r="T10" s="9"/>
      <c r="U10" s="9"/>
      <c r="V10" s="9"/>
      <c r="W10" s="9"/>
      <c r="X10" s="9"/>
      <c r="Y10" s="9"/>
      <c r="Z10" s="9"/>
    </row>
    <row r="11">
      <c r="A11" s="9"/>
      <c r="B11" s="41" t="s">
        <v>75</v>
      </c>
      <c r="C11" s="10"/>
      <c r="D11" s="5"/>
      <c r="E11" s="73">
        <f>sum(E6:E10)</f>
        <v>37000000</v>
      </c>
      <c r="F11" s="76">
        <f>SUM(F6:F10)</f>
        <v>45695000</v>
      </c>
      <c r="G11" s="70"/>
      <c r="H11" s="9"/>
      <c r="I11" s="9"/>
      <c r="J11" s="9"/>
      <c r="K11" s="9"/>
      <c r="L11" s="9"/>
      <c r="M11" s="9"/>
      <c r="N11" s="9"/>
      <c r="O11" s="9"/>
      <c r="P11" s="9"/>
      <c r="Q11" s="9"/>
      <c r="R11" s="9"/>
      <c r="S11" s="9"/>
      <c r="T11" s="9"/>
      <c r="U11" s="9"/>
      <c r="V11" s="9"/>
      <c r="W11" s="9"/>
      <c r="X11" s="9"/>
      <c r="Y11" s="9"/>
      <c r="Z11" s="9"/>
    </row>
    <row r="12">
      <c r="A12" s="9"/>
      <c r="B12" s="77"/>
      <c r="C12" s="9"/>
      <c r="D12" s="9"/>
      <c r="E12" s="9"/>
      <c r="F12" s="9"/>
      <c r="G12" s="9"/>
      <c r="H12" s="9"/>
      <c r="I12" s="9"/>
      <c r="J12" s="9"/>
      <c r="K12" s="9"/>
      <c r="L12" s="9"/>
      <c r="M12" s="9"/>
      <c r="N12" s="9"/>
      <c r="O12" s="9"/>
      <c r="P12" s="9"/>
      <c r="Q12" s="9"/>
      <c r="R12" s="9"/>
      <c r="S12" s="9"/>
      <c r="T12" s="9"/>
      <c r="U12" s="9"/>
      <c r="V12" s="9"/>
      <c r="W12" s="9"/>
      <c r="X12" s="9"/>
      <c r="Y12" s="9"/>
      <c r="Z12" s="9"/>
    </row>
    <row r="13">
      <c r="A13" s="9"/>
      <c r="B13" s="77"/>
      <c r="C13" s="9"/>
      <c r="D13" s="9"/>
      <c r="E13" s="9"/>
      <c r="F13" s="9"/>
      <c r="G13" s="9"/>
      <c r="H13" s="9"/>
      <c r="I13" s="1"/>
      <c r="J13" s="1"/>
      <c r="K13" s="1"/>
      <c r="L13" s="1"/>
      <c r="M13" s="1"/>
      <c r="N13" s="1"/>
      <c r="O13" s="1"/>
      <c r="P13" s="1"/>
      <c r="Q13" s="1"/>
      <c r="R13" s="1"/>
      <c r="S13" s="1"/>
      <c r="T13" s="9"/>
      <c r="U13" s="9"/>
      <c r="V13" s="9"/>
      <c r="W13" s="9"/>
      <c r="X13" s="9"/>
      <c r="Y13" s="9"/>
      <c r="Z13" s="9"/>
    </row>
    <row r="14">
      <c r="A14" s="9"/>
      <c r="B14" s="80" t="s">
        <v>85</v>
      </c>
      <c r="C14" s="10"/>
      <c r="D14" s="10"/>
      <c r="E14" s="10"/>
      <c r="F14" s="5"/>
      <c r="G14" s="81"/>
      <c r="H14" s="9"/>
      <c r="I14" s="9"/>
      <c r="J14" s="9"/>
      <c r="K14" s="9"/>
      <c r="L14" s="9"/>
      <c r="M14" s="9"/>
      <c r="N14" s="9"/>
      <c r="O14" s="9"/>
      <c r="P14" s="9"/>
      <c r="Q14" s="1"/>
      <c r="R14" s="1"/>
      <c r="S14" s="1"/>
      <c r="T14" s="9"/>
      <c r="U14" s="9"/>
      <c r="V14" s="9"/>
      <c r="W14" s="9"/>
      <c r="X14" s="9"/>
      <c r="Y14" s="9"/>
      <c r="Z14" s="9"/>
    </row>
    <row r="15">
      <c r="A15" s="9"/>
      <c r="B15" s="84" t="s">
        <v>29</v>
      </c>
      <c r="C15" s="85" t="s">
        <v>86</v>
      </c>
      <c r="D15" s="43"/>
      <c r="E15" s="43" t="s">
        <v>87</v>
      </c>
      <c r="F15" s="43" t="s">
        <v>88</v>
      </c>
      <c r="G15" s="9"/>
      <c r="H15" s="9"/>
      <c r="I15" s="9"/>
      <c r="J15" s="81"/>
      <c r="Q15" s="1"/>
      <c r="R15" s="1"/>
      <c r="S15" s="1"/>
      <c r="T15" s="9"/>
      <c r="U15" s="9"/>
      <c r="V15" s="9"/>
      <c r="W15" s="9"/>
      <c r="X15" s="9"/>
      <c r="Y15" s="9"/>
      <c r="Z15" s="86"/>
    </row>
    <row r="16">
      <c r="A16" s="9"/>
      <c r="B16" s="87">
        <v>1.0</v>
      </c>
      <c r="C16" s="47" t="s">
        <v>90</v>
      </c>
      <c r="D16" s="88"/>
      <c r="E16" s="51">
        <v>50000.0</v>
      </c>
      <c r="F16" s="93" t="s">
        <v>92</v>
      </c>
      <c r="G16" s="9"/>
      <c r="H16" s="9"/>
      <c r="I16" s="9"/>
      <c r="J16" s="94"/>
      <c r="K16" s="94"/>
      <c r="L16" s="94"/>
      <c r="M16" s="94"/>
      <c r="N16" s="94"/>
      <c r="O16" s="94"/>
      <c r="P16" s="94"/>
      <c r="Q16" s="95"/>
      <c r="R16" s="1"/>
      <c r="S16" s="1"/>
      <c r="T16" s="9"/>
      <c r="U16" s="9"/>
      <c r="V16" s="9"/>
      <c r="W16" s="9"/>
      <c r="X16" s="9"/>
      <c r="Y16" s="9"/>
      <c r="Z16" s="86"/>
    </row>
    <row r="17">
      <c r="A17" s="9"/>
      <c r="B17" s="87">
        <v>2.0</v>
      </c>
      <c r="C17" s="47" t="s">
        <v>98</v>
      </c>
      <c r="D17" s="88"/>
      <c r="E17" s="51">
        <v>100000.0</v>
      </c>
      <c r="F17" s="93" t="s">
        <v>92</v>
      </c>
      <c r="G17" s="9"/>
      <c r="H17" s="9"/>
      <c r="I17" s="9"/>
      <c r="J17" s="97"/>
      <c r="K17" s="98"/>
      <c r="L17" s="100"/>
      <c r="M17" s="97"/>
      <c r="N17" s="97"/>
      <c r="O17" s="101"/>
      <c r="P17" s="103"/>
      <c r="Q17" s="1"/>
      <c r="R17" s="1"/>
      <c r="S17" s="1"/>
      <c r="T17" s="9"/>
      <c r="U17" s="9"/>
      <c r="V17" s="9"/>
      <c r="W17" s="9"/>
      <c r="X17" s="9"/>
      <c r="Y17" s="9"/>
      <c r="Z17" s="86"/>
    </row>
    <row r="18">
      <c r="A18" s="9"/>
      <c r="B18" s="41" t="s">
        <v>75</v>
      </c>
      <c r="C18" s="5"/>
      <c r="D18" s="105"/>
      <c r="E18" s="105">
        <f>E16+E17</f>
        <v>150000</v>
      </c>
      <c r="F18" s="107"/>
      <c r="G18" s="9"/>
      <c r="H18" s="9"/>
      <c r="I18" s="9"/>
      <c r="J18" s="108"/>
      <c r="K18" s="98"/>
      <c r="L18" s="100"/>
      <c r="M18" s="97"/>
      <c r="N18" s="97"/>
      <c r="O18" s="101"/>
      <c r="P18" s="103"/>
      <c r="Q18" s="1"/>
      <c r="R18" s="1"/>
      <c r="S18" s="1"/>
      <c r="T18" s="9"/>
      <c r="U18" s="9"/>
      <c r="V18" s="9"/>
      <c r="W18" s="9"/>
      <c r="X18" s="9"/>
      <c r="Y18" s="9"/>
      <c r="Z18" s="86"/>
    </row>
    <row r="19">
      <c r="A19" s="9"/>
      <c r="B19" s="77"/>
      <c r="C19" s="9"/>
      <c r="D19" s="9"/>
      <c r="E19" s="9"/>
      <c r="F19" s="9"/>
      <c r="G19" s="9"/>
      <c r="H19" s="9"/>
      <c r="I19" s="9"/>
      <c r="J19" s="94"/>
      <c r="O19" s="110"/>
      <c r="P19" s="111"/>
      <c r="Q19" s="1"/>
      <c r="R19" s="1"/>
      <c r="S19" s="1"/>
      <c r="T19" s="9"/>
      <c r="U19" s="9"/>
      <c r="V19" s="9"/>
      <c r="W19" s="9"/>
      <c r="X19" s="9"/>
      <c r="Y19" s="9"/>
      <c r="Z19" s="9"/>
    </row>
    <row r="20">
      <c r="A20" s="9"/>
      <c r="B20" s="77"/>
      <c r="C20" s="9"/>
      <c r="D20" s="9"/>
      <c r="E20" s="9"/>
      <c r="F20" s="9"/>
      <c r="G20" s="9"/>
      <c r="H20" s="9"/>
      <c r="I20" s="1"/>
      <c r="J20" s="1"/>
      <c r="K20" s="1"/>
      <c r="L20" s="1"/>
      <c r="M20" s="1"/>
      <c r="N20" s="81"/>
      <c r="O20" s="81"/>
      <c r="P20" s="81"/>
      <c r="Q20" s="81"/>
      <c r="R20" s="81"/>
      <c r="S20" s="81"/>
      <c r="T20" s="81"/>
      <c r="U20" s="9"/>
      <c r="V20" s="9"/>
      <c r="W20" s="9"/>
      <c r="X20" s="9"/>
      <c r="Y20" s="9"/>
      <c r="Z20" s="9"/>
    </row>
    <row r="21">
      <c r="A21" s="9"/>
      <c r="B21" s="114" t="s">
        <v>120</v>
      </c>
      <c r="C21" s="10"/>
      <c r="D21" s="10"/>
      <c r="E21" s="10"/>
      <c r="F21" s="10"/>
      <c r="G21" s="10"/>
      <c r="H21" s="5"/>
      <c r="I21" s="9"/>
      <c r="J21" s="9"/>
      <c r="K21" s="9"/>
      <c r="L21" s="9"/>
      <c r="M21" s="9"/>
      <c r="N21" s="9"/>
      <c r="O21" s="9"/>
      <c r="P21" s="9"/>
      <c r="Q21" s="9"/>
      <c r="R21" s="9"/>
      <c r="S21" s="9"/>
      <c r="T21" s="9"/>
      <c r="U21" s="9"/>
      <c r="V21" s="9"/>
      <c r="W21" s="9"/>
      <c r="X21" s="9"/>
      <c r="Y21" s="9"/>
      <c r="Z21" s="9"/>
    </row>
    <row r="22">
      <c r="A22" s="9"/>
      <c r="B22" s="116" t="s">
        <v>29</v>
      </c>
      <c r="C22" s="116" t="s">
        <v>86</v>
      </c>
      <c r="D22" s="118" t="s">
        <v>122</v>
      </c>
      <c r="E22" s="116" t="s">
        <v>124</v>
      </c>
      <c r="F22" s="116" t="s">
        <v>11</v>
      </c>
      <c r="G22" s="116" t="s">
        <v>125</v>
      </c>
      <c r="H22" s="116" t="s">
        <v>88</v>
      </c>
      <c r="I22" s="9"/>
      <c r="J22" s="80" t="s">
        <v>126</v>
      </c>
      <c r="K22" s="10"/>
      <c r="L22" s="10"/>
      <c r="M22" s="10"/>
      <c r="N22" s="10"/>
      <c r="O22" s="10"/>
      <c r="P22" s="5"/>
      <c r="Q22" s="9"/>
      <c r="R22" s="9"/>
      <c r="S22" s="9"/>
      <c r="T22" s="9"/>
      <c r="U22" s="9"/>
      <c r="V22" s="9"/>
      <c r="W22" s="9"/>
      <c r="X22" s="9"/>
      <c r="Y22" s="9"/>
      <c r="Z22" s="9"/>
    </row>
    <row r="23">
      <c r="A23" s="9"/>
      <c r="B23" s="121">
        <v>1.0</v>
      </c>
      <c r="C23" s="122" t="s">
        <v>129</v>
      </c>
      <c r="D23" s="124" t="s">
        <v>131</v>
      </c>
      <c r="E23" s="124">
        <v>3.435E7</v>
      </c>
      <c r="F23" s="125">
        <v>2.0</v>
      </c>
      <c r="G23" s="124">
        <f t="shared" ref="G23:G30" si="2">E23*F23</f>
        <v>68700000</v>
      </c>
      <c r="H23" s="130" t="s">
        <v>140</v>
      </c>
      <c r="I23" s="131" t="s">
        <v>147</v>
      </c>
      <c r="J23" s="132" t="s">
        <v>29</v>
      </c>
      <c r="K23" s="132" t="s">
        <v>86</v>
      </c>
      <c r="L23" s="132" t="s">
        <v>124</v>
      </c>
      <c r="M23" s="132" t="s">
        <v>122</v>
      </c>
      <c r="N23" s="132" t="s">
        <v>11</v>
      </c>
      <c r="O23" s="132" t="s">
        <v>125</v>
      </c>
      <c r="P23" s="132" t="s">
        <v>151</v>
      </c>
      <c r="Q23" s="9"/>
      <c r="R23" s="9"/>
      <c r="S23" s="9"/>
      <c r="T23" s="9"/>
      <c r="U23" s="9"/>
      <c r="V23" s="9"/>
      <c r="W23" s="9"/>
      <c r="X23" s="9"/>
      <c r="Y23" s="9"/>
      <c r="Z23" s="9"/>
    </row>
    <row r="24">
      <c r="A24" s="9"/>
      <c r="B24" s="121">
        <v>2.0</v>
      </c>
      <c r="C24" s="134" t="s">
        <v>152</v>
      </c>
      <c r="D24" s="124" t="s">
        <v>131</v>
      </c>
      <c r="E24" s="124">
        <v>1.06E7</v>
      </c>
      <c r="F24" s="125">
        <v>2.0</v>
      </c>
      <c r="G24" s="136">
        <f t="shared" si="2"/>
        <v>21200000</v>
      </c>
      <c r="H24" s="142" t="s">
        <v>140</v>
      </c>
      <c r="I24" s="9"/>
      <c r="J24" s="143">
        <v>1.0</v>
      </c>
      <c r="K24" s="144" t="s">
        <v>163</v>
      </c>
      <c r="L24" s="145">
        <v>38500.0</v>
      </c>
      <c r="M24" s="143" t="s">
        <v>166</v>
      </c>
      <c r="N24" s="146">
        <v>150.0</v>
      </c>
      <c r="O24" s="145">
        <f t="shared" ref="O24:O28" si="3">L24*N24</f>
        <v>5775000</v>
      </c>
      <c r="P24" s="150" t="s">
        <v>92</v>
      </c>
      <c r="Q24" s="79"/>
      <c r="R24" s="9"/>
      <c r="S24" s="9"/>
      <c r="T24" s="9"/>
      <c r="U24" s="9"/>
      <c r="V24" s="9"/>
      <c r="W24" s="9"/>
      <c r="X24" s="9"/>
      <c r="Y24" s="9"/>
      <c r="Z24" s="9"/>
    </row>
    <row r="25">
      <c r="A25" s="9"/>
      <c r="B25" s="153">
        <v>3.0</v>
      </c>
      <c r="C25" s="154" t="s">
        <v>180</v>
      </c>
      <c r="D25" s="155" t="s">
        <v>182</v>
      </c>
      <c r="E25" s="155">
        <v>19000.0</v>
      </c>
      <c r="F25" s="153">
        <v>6.0</v>
      </c>
      <c r="G25" s="158">
        <f t="shared" si="2"/>
        <v>114000</v>
      </c>
      <c r="H25" s="162" t="s">
        <v>140</v>
      </c>
      <c r="I25" s="9"/>
      <c r="J25" s="143">
        <v>2.0</v>
      </c>
      <c r="K25" s="144" t="s">
        <v>190</v>
      </c>
      <c r="L25" s="145">
        <v>38500.0</v>
      </c>
      <c r="M25" s="143" t="s">
        <v>166</v>
      </c>
      <c r="N25" s="146">
        <v>150.0</v>
      </c>
      <c r="O25" s="145">
        <f t="shared" si="3"/>
        <v>5775000</v>
      </c>
      <c r="P25" s="150" t="s">
        <v>92</v>
      </c>
      <c r="Q25" s="9"/>
      <c r="R25" s="9"/>
      <c r="S25" s="9"/>
      <c r="T25" s="9"/>
      <c r="U25" s="9"/>
      <c r="V25" s="9"/>
      <c r="W25" s="9"/>
      <c r="X25" s="9"/>
      <c r="Y25" s="9"/>
      <c r="Z25" s="9"/>
    </row>
    <row r="26">
      <c r="A26" s="9"/>
      <c r="B26" s="125">
        <v>4.0</v>
      </c>
      <c r="C26" s="163" t="s">
        <v>191</v>
      </c>
      <c r="D26" s="164" t="s">
        <v>192</v>
      </c>
      <c r="E26" s="165">
        <v>150000.0</v>
      </c>
      <c r="F26" s="166">
        <v>2.0</v>
      </c>
      <c r="G26" s="164">
        <f t="shared" si="2"/>
        <v>300000</v>
      </c>
      <c r="H26" s="167" t="s">
        <v>140</v>
      </c>
      <c r="I26" s="9"/>
      <c r="J26" s="143">
        <v>3.0</v>
      </c>
      <c r="K26" s="144" t="s">
        <v>195</v>
      </c>
      <c r="L26" s="145">
        <v>25800.0</v>
      </c>
      <c r="M26" s="143" t="s">
        <v>166</v>
      </c>
      <c r="N26" s="146">
        <v>150.0</v>
      </c>
      <c r="O26" s="145">
        <f t="shared" si="3"/>
        <v>3870000</v>
      </c>
      <c r="P26" s="150" t="s">
        <v>92</v>
      </c>
      <c r="Q26" s="9"/>
      <c r="R26" s="9"/>
      <c r="S26" s="9"/>
      <c r="T26" s="9"/>
      <c r="U26" s="9"/>
      <c r="V26" s="9"/>
      <c r="W26" s="9"/>
      <c r="X26" s="9"/>
      <c r="Y26" s="9"/>
      <c r="Z26" s="9"/>
    </row>
    <row r="27">
      <c r="A27" s="9"/>
      <c r="B27" s="153">
        <v>5.0</v>
      </c>
      <c r="C27" s="168" t="s">
        <v>196</v>
      </c>
      <c r="D27" s="164" t="s">
        <v>197</v>
      </c>
      <c r="E27" s="165">
        <v>250000.0</v>
      </c>
      <c r="F27" s="166">
        <v>2.0</v>
      </c>
      <c r="G27" s="165">
        <f t="shared" si="2"/>
        <v>500000</v>
      </c>
      <c r="H27" s="130" t="s">
        <v>140</v>
      </c>
      <c r="I27" s="9"/>
      <c r="J27" s="143">
        <v>4.0</v>
      </c>
      <c r="K27" s="144" t="s">
        <v>200</v>
      </c>
      <c r="L27" s="145">
        <v>0.0</v>
      </c>
      <c r="M27" s="143"/>
      <c r="N27" s="146"/>
      <c r="O27" s="145">
        <f t="shared" si="3"/>
        <v>0</v>
      </c>
      <c r="P27" s="170"/>
      <c r="Q27" s="9"/>
      <c r="R27" s="9"/>
      <c r="S27" s="9"/>
      <c r="T27" s="9"/>
      <c r="U27" s="9"/>
      <c r="V27" s="9"/>
      <c r="W27" s="9"/>
      <c r="X27" s="9"/>
      <c r="Y27" s="9"/>
      <c r="Z27" s="9"/>
    </row>
    <row r="28">
      <c r="A28" s="9"/>
      <c r="B28" s="153">
        <v>6.0</v>
      </c>
      <c r="C28" s="171" t="s">
        <v>201</v>
      </c>
      <c r="D28" s="155" t="s">
        <v>197</v>
      </c>
      <c r="E28" s="155">
        <v>70000.0</v>
      </c>
      <c r="F28" s="153">
        <v>2.0</v>
      </c>
      <c r="G28" s="158">
        <f t="shared" si="2"/>
        <v>140000</v>
      </c>
      <c r="H28" s="162" t="s">
        <v>140</v>
      </c>
      <c r="I28" s="9"/>
      <c r="J28" s="143">
        <v>5.0</v>
      </c>
      <c r="K28" s="144" t="s">
        <v>202</v>
      </c>
      <c r="L28" s="145">
        <v>36000.0</v>
      </c>
      <c r="M28" s="143" t="s">
        <v>197</v>
      </c>
      <c r="N28" s="143">
        <v>3.0</v>
      </c>
      <c r="O28" s="145">
        <f t="shared" si="3"/>
        <v>108000</v>
      </c>
      <c r="P28" s="150" t="s">
        <v>92</v>
      </c>
      <c r="Q28" s="9"/>
      <c r="R28" s="9"/>
      <c r="S28" s="9"/>
      <c r="T28" s="9"/>
      <c r="U28" s="9"/>
      <c r="V28" s="9"/>
      <c r="W28" s="9"/>
      <c r="X28" s="9"/>
      <c r="Y28" s="9"/>
      <c r="Z28" s="9"/>
    </row>
    <row r="29">
      <c r="A29" s="9"/>
      <c r="B29" s="153">
        <v>7.0</v>
      </c>
      <c r="C29" s="171" t="s">
        <v>205</v>
      </c>
      <c r="D29" s="155" t="s">
        <v>192</v>
      </c>
      <c r="E29" s="155">
        <v>86000.0</v>
      </c>
      <c r="F29" s="153">
        <v>2.0</v>
      </c>
      <c r="G29" s="158">
        <f t="shared" si="2"/>
        <v>172000</v>
      </c>
      <c r="H29" s="162" t="s">
        <v>140</v>
      </c>
      <c r="I29" s="9"/>
      <c r="J29" s="173" t="s">
        <v>75</v>
      </c>
      <c r="K29" s="10"/>
      <c r="L29" s="10"/>
      <c r="M29" s="10"/>
      <c r="N29" s="5"/>
      <c r="O29" s="174">
        <f>sum(O24:O28)</f>
        <v>15528000</v>
      </c>
      <c r="P29" s="175"/>
      <c r="Q29" s="9"/>
      <c r="R29" s="9"/>
      <c r="S29" s="9"/>
      <c r="T29" s="9"/>
      <c r="U29" s="9"/>
      <c r="V29" s="9"/>
      <c r="W29" s="9"/>
      <c r="X29" s="9"/>
      <c r="Y29" s="9"/>
      <c r="Z29" s="9"/>
    </row>
    <row r="30">
      <c r="A30" s="9"/>
      <c r="B30" s="153">
        <v>8.0</v>
      </c>
      <c r="C30" s="154" t="s">
        <v>208</v>
      </c>
      <c r="D30" s="155" t="s">
        <v>197</v>
      </c>
      <c r="E30" s="155">
        <v>28000.0</v>
      </c>
      <c r="F30" s="153">
        <v>2.0</v>
      </c>
      <c r="G30" s="158">
        <f t="shared" si="2"/>
        <v>56000</v>
      </c>
      <c r="H30" s="162" t="s">
        <v>140</v>
      </c>
      <c r="I30" s="9"/>
      <c r="J30" s="97"/>
      <c r="K30" s="176"/>
      <c r="L30" s="100"/>
      <c r="M30" s="97"/>
      <c r="N30" s="97"/>
      <c r="O30" s="101"/>
      <c r="P30" s="103"/>
      <c r="Q30" s="9"/>
      <c r="R30" s="9"/>
      <c r="S30" s="9"/>
      <c r="T30" s="9"/>
      <c r="U30" s="9"/>
      <c r="V30" s="9"/>
      <c r="W30" s="9"/>
      <c r="X30" s="9"/>
      <c r="Y30" s="9"/>
      <c r="Z30" s="9"/>
    </row>
    <row r="31">
      <c r="A31" s="9"/>
      <c r="B31" s="177" t="s">
        <v>75</v>
      </c>
      <c r="C31" s="33"/>
      <c r="D31" s="33"/>
      <c r="E31" s="33"/>
      <c r="F31" s="14"/>
      <c r="G31" s="178">
        <f>SUM(G22:G30)</f>
        <v>91182000</v>
      </c>
      <c r="H31" s="179"/>
      <c r="I31" s="9"/>
      <c r="J31" s="97"/>
      <c r="K31" s="180"/>
      <c r="L31" s="100"/>
      <c r="M31" s="181">
        <v>46065.0</v>
      </c>
      <c r="N31" s="182">
        <v>162.5</v>
      </c>
      <c r="O31" s="183">
        <f>N31*L24*2+N31*L26</f>
        <v>16705000</v>
      </c>
      <c r="P31" s="103"/>
      <c r="Q31" s="9"/>
      <c r="R31" s="9"/>
      <c r="S31" s="9"/>
      <c r="T31" s="9"/>
      <c r="U31" s="9"/>
      <c r="V31" s="9"/>
      <c r="W31" s="9"/>
      <c r="X31" s="9"/>
      <c r="Y31" s="9"/>
      <c r="Z31" s="9"/>
    </row>
    <row r="32">
      <c r="A32" s="9"/>
      <c r="B32" s="184"/>
      <c r="C32" s="33"/>
      <c r="D32" s="33"/>
      <c r="E32" s="33"/>
      <c r="F32" s="33"/>
      <c r="G32" s="185"/>
      <c r="H32" s="186"/>
      <c r="I32" s="9"/>
      <c r="J32" s="94"/>
      <c r="O32" s="110"/>
      <c r="P32" s="111"/>
      <c r="Q32" s="9"/>
      <c r="R32" s="9"/>
      <c r="S32" s="9"/>
      <c r="T32" s="9"/>
      <c r="U32" s="9"/>
      <c r="V32" s="9"/>
      <c r="W32" s="9"/>
      <c r="X32" s="9"/>
      <c r="Y32" s="9"/>
      <c r="Z32" s="9"/>
    </row>
    <row r="33" ht="15.0" customHeight="1">
      <c r="A33" s="9"/>
      <c r="B33" s="77"/>
      <c r="C33" s="9"/>
      <c r="D33" s="9"/>
      <c r="E33" s="9"/>
      <c r="F33" s="9"/>
      <c r="G33" s="9"/>
      <c r="H33" s="9"/>
      <c r="I33" s="9"/>
      <c r="J33" s="9"/>
      <c r="K33" s="9"/>
      <c r="L33" s="9"/>
      <c r="M33" s="9"/>
      <c r="N33" s="81"/>
      <c r="O33" s="81"/>
      <c r="P33" s="81"/>
      <c r="Q33" s="81"/>
      <c r="R33" s="81"/>
      <c r="S33" s="81"/>
      <c r="T33" s="81"/>
      <c r="U33" s="9"/>
      <c r="V33" s="9"/>
      <c r="W33" s="9"/>
      <c r="X33" s="9"/>
      <c r="Y33" s="9"/>
      <c r="Z33" s="9"/>
    </row>
    <row r="34" ht="15.0" customHeight="1">
      <c r="A34" s="9"/>
      <c r="B34" s="187"/>
      <c r="C34" s="86"/>
      <c r="D34" s="86"/>
      <c r="E34" s="86"/>
      <c r="F34" s="86"/>
      <c r="G34" s="86"/>
      <c r="H34" s="86"/>
      <c r="I34" s="86"/>
      <c r="J34" s="86"/>
      <c r="K34" s="86"/>
      <c r="L34" s="9"/>
      <c r="M34" s="9"/>
      <c r="N34" s="1"/>
      <c r="O34" s="1"/>
      <c r="P34" s="1"/>
      <c r="Q34" s="1"/>
      <c r="R34" s="1"/>
      <c r="S34" s="1"/>
      <c r="T34" s="1"/>
      <c r="U34" s="1"/>
      <c r="V34" s="1"/>
      <c r="W34" s="1"/>
      <c r="X34" s="1"/>
      <c r="Y34" s="1"/>
      <c r="Z34" s="1"/>
    </row>
    <row r="35">
      <c r="A35" s="9"/>
      <c r="B35" s="188" t="s">
        <v>209</v>
      </c>
      <c r="C35" s="10"/>
      <c r="D35" s="10"/>
      <c r="E35" s="10"/>
      <c r="F35" s="10"/>
      <c r="G35" s="10"/>
      <c r="H35" s="10"/>
      <c r="I35" s="10"/>
      <c r="J35" s="10"/>
      <c r="K35" s="5"/>
      <c r="L35" s="9"/>
      <c r="M35" s="9"/>
      <c r="Q35" s="81"/>
      <c r="R35" s="81"/>
      <c r="S35" s="81"/>
      <c r="T35" s="81"/>
      <c r="U35" s="1"/>
      <c r="V35" s="1"/>
      <c r="W35" s="1"/>
      <c r="X35" s="1"/>
      <c r="Y35" s="1"/>
      <c r="Z35" s="1"/>
    </row>
    <row r="36">
      <c r="A36" s="9"/>
      <c r="B36" s="58" t="s">
        <v>29</v>
      </c>
      <c r="C36" s="58" t="s">
        <v>86</v>
      </c>
      <c r="D36" s="58"/>
      <c r="E36" s="58" t="s">
        <v>210</v>
      </c>
      <c r="F36" s="58" t="s">
        <v>116</v>
      </c>
      <c r="G36" s="58" t="s">
        <v>141</v>
      </c>
      <c r="H36" s="58" t="s">
        <v>143</v>
      </c>
      <c r="I36" s="58" t="s">
        <v>144</v>
      </c>
      <c r="J36" s="58" t="s">
        <v>145</v>
      </c>
      <c r="K36" s="58" t="s">
        <v>88</v>
      </c>
      <c r="L36" s="9"/>
      <c r="M36" s="9"/>
      <c r="Q36" s="94"/>
      <c r="R36" s="94"/>
      <c r="S36" s="94"/>
      <c r="T36" s="94"/>
      <c r="U36" s="1"/>
      <c r="V36" s="1"/>
      <c r="W36" s="1"/>
      <c r="X36" s="1"/>
      <c r="Y36" s="1"/>
      <c r="Z36" s="1"/>
    </row>
    <row r="37">
      <c r="A37" s="9"/>
      <c r="B37" s="189" t="s">
        <v>211</v>
      </c>
      <c r="C37" s="190" t="s">
        <v>212</v>
      </c>
      <c r="D37" s="191"/>
      <c r="E37" s="191"/>
      <c r="F37" s="192"/>
      <c r="G37" s="192"/>
      <c r="H37" s="192"/>
      <c r="I37" s="192"/>
      <c r="J37" s="192"/>
      <c r="K37" s="193"/>
      <c r="L37" s="9"/>
      <c r="M37" s="9"/>
      <c r="Q37" s="97"/>
      <c r="R37" s="194"/>
      <c r="S37" s="101"/>
      <c r="T37" s="103"/>
      <c r="U37" s="95"/>
      <c r="V37" s="1"/>
      <c r="W37" s="1"/>
      <c r="X37" s="1"/>
      <c r="Y37" s="1"/>
      <c r="Z37" s="1"/>
    </row>
    <row r="38">
      <c r="A38" s="9"/>
      <c r="B38" s="195">
        <v>1.0</v>
      </c>
      <c r="C38" s="192" t="s">
        <v>213</v>
      </c>
      <c r="D38" s="196"/>
      <c r="E38" s="196">
        <f t="shared" ref="E38:E42" si="5">F6</f>
        <v>12350000</v>
      </c>
      <c r="F38" s="198">
        <f t="shared" ref="F38:F42" si="6">E38*12</f>
        <v>148200000</v>
      </c>
      <c r="G38" s="198">
        <f t="shared" ref="G38:J38" si="4">F38*(1+4%)</f>
        <v>154128000</v>
      </c>
      <c r="H38" s="198">
        <f t="shared" si="4"/>
        <v>160293120</v>
      </c>
      <c r="I38" s="198">
        <f t="shared" si="4"/>
        <v>166704844.8</v>
      </c>
      <c r="J38" s="198">
        <f t="shared" si="4"/>
        <v>173373038.6</v>
      </c>
      <c r="K38" s="199"/>
      <c r="L38" s="9"/>
      <c r="M38" s="9"/>
      <c r="Q38" s="97"/>
      <c r="R38" s="194"/>
      <c r="S38" s="101"/>
      <c r="T38" s="103"/>
      <c r="U38" s="1"/>
      <c r="V38" s="1"/>
      <c r="W38" s="1"/>
      <c r="X38" s="1"/>
      <c r="Y38" s="1"/>
      <c r="Z38" s="1"/>
    </row>
    <row r="39">
      <c r="A39" s="9"/>
      <c r="B39" s="195">
        <v>2.0</v>
      </c>
      <c r="C39" s="191" t="s">
        <v>214</v>
      </c>
      <c r="D39" s="196"/>
      <c r="E39" s="196">
        <f t="shared" si="5"/>
        <v>8645000</v>
      </c>
      <c r="F39" s="198">
        <f t="shared" si="6"/>
        <v>103740000</v>
      </c>
      <c r="G39" s="198">
        <f t="shared" ref="G39:J39" si="7">F39*(1+4%)</f>
        <v>107889600</v>
      </c>
      <c r="H39" s="198">
        <f t="shared" si="7"/>
        <v>112205184</v>
      </c>
      <c r="I39" s="198">
        <f t="shared" si="7"/>
        <v>116693391.4</v>
      </c>
      <c r="J39" s="198">
        <f t="shared" si="7"/>
        <v>121361127</v>
      </c>
      <c r="K39" s="199"/>
      <c r="L39" s="9"/>
      <c r="M39" s="9"/>
      <c r="Q39" s="97"/>
      <c r="R39" s="194"/>
      <c r="S39" s="101"/>
      <c r="T39" s="103"/>
      <c r="U39" s="1"/>
      <c r="V39" s="1"/>
      <c r="W39" s="1"/>
      <c r="X39" s="1"/>
      <c r="Y39" s="1"/>
      <c r="Z39" s="1"/>
    </row>
    <row r="40">
      <c r="A40" s="9"/>
      <c r="B40" s="195">
        <v>3.0</v>
      </c>
      <c r="C40" s="191" t="s">
        <v>215</v>
      </c>
      <c r="D40" s="196"/>
      <c r="E40" s="196">
        <f t="shared" si="5"/>
        <v>8645000</v>
      </c>
      <c r="F40" s="198">
        <f t="shared" si="6"/>
        <v>103740000</v>
      </c>
      <c r="G40" s="198">
        <f t="shared" ref="G40:J40" si="8">F40*(1+4%)</f>
        <v>107889600</v>
      </c>
      <c r="H40" s="198">
        <f t="shared" si="8"/>
        <v>112205184</v>
      </c>
      <c r="I40" s="198">
        <f t="shared" si="8"/>
        <v>116693391.4</v>
      </c>
      <c r="J40" s="198">
        <f t="shared" si="8"/>
        <v>121361127</v>
      </c>
      <c r="K40" s="199"/>
      <c r="L40" s="9"/>
      <c r="M40" s="9"/>
      <c r="Q40" s="97"/>
      <c r="R40" s="194"/>
      <c r="S40" s="101"/>
      <c r="T40" s="201"/>
      <c r="U40" s="1"/>
      <c r="V40" s="1"/>
      <c r="W40" s="1"/>
      <c r="X40" s="1"/>
      <c r="Y40" s="1"/>
      <c r="Z40" s="1"/>
    </row>
    <row r="41">
      <c r="A41" s="9"/>
      <c r="B41" s="195">
        <v>4.0</v>
      </c>
      <c r="C41" s="191" t="s">
        <v>217</v>
      </c>
      <c r="D41" s="196"/>
      <c r="E41" s="196">
        <f t="shared" si="5"/>
        <v>8027500</v>
      </c>
      <c r="F41" s="198">
        <f t="shared" si="6"/>
        <v>96330000</v>
      </c>
      <c r="G41" s="198">
        <f t="shared" ref="G41:J41" si="9">F41*(1+4%)</f>
        <v>100183200</v>
      </c>
      <c r="H41" s="198">
        <f t="shared" si="9"/>
        <v>104190528</v>
      </c>
      <c r="I41" s="198">
        <f t="shared" si="9"/>
        <v>108358149.1</v>
      </c>
      <c r="J41" s="198">
        <f t="shared" si="9"/>
        <v>112692475.1</v>
      </c>
      <c r="K41" s="199"/>
      <c r="L41" s="9"/>
      <c r="M41" s="9"/>
      <c r="Q41" s="97"/>
      <c r="R41" s="97"/>
      <c r="S41" s="101"/>
      <c r="T41" s="103"/>
      <c r="U41" s="1"/>
      <c r="V41" s="1"/>
      <c r="W41" s="1"/>
      <c r="X41" s="1"/>
      <c r="Y41" s="1"/>
      <c r="Z41" s="1"/>
    </row>
    <row r="42">
      <c r="A42" s="9"/>
      <c r="B42" s="195">
        <v>5.0</v>
      </c>
      <c r="C42" s="191" t="s">
        <v>218</v>
      </c>
      <c r="D42" s="196"/>
      <c r="E42" s="196">
        <f t="shared" si="5"/>
        <v>8027500</v>
      </c>
      <c r="F42" s="198">
        <f t="shared" si="6"/>
        <v>96330000</v>
      </c>
      <c r="G42" s="198">
        <f t="shared" ref="G42:J42" si="10">F42*(1+4%)</f>
        <v>100183200</v>
      </c>
      <c r="H42" s="198">
        <f t="shared" si="10"/>
        <v>104190528</v>
      </c>
      <c r="I42" s="198">
        <f t="shared" si="10"/>
        <v>108358149.1</v>
      </c>
      <c r="J42" s="198">
        <f t="shared" si="10"/>
        <v>112692475.1</v>
      </c>
      <c r="K42" s="199"/>
      <c r="L42" s="9"/>
      <c r="M42" s="9"/>
      <c r="Q42" s="94"/>
      <c r="R42" s="94"/>
      <c r="S42" s="110"/>
      <c r="T42" s="111"/>
      <c r="U42" s="1"/>
      <c r="V42" s="1"/>
      <c r="W42" s="1"/>
      <c r="X42" s="1"/>
      <c r="Y42" s="1"/>
      <c r="Z42" s="1"/>
    </row>
    <row r="43">
      <c r="A43" s="9"/>
      <c r="B43" s="202" t="s">
        <v>219</v>
      </c>
      <c r="C43" s="190" t="s">
        <v>220</v>
      </c>
      <c r="D43" s="192"/>
      <c r="E43" s="192"/>
      <c r="F43" s="192"/>
      <c r="G43" s="192"/>
      <c r="H43" s="192"/>
      <c r="I43" s="192"/>
      <c r="J43" s="192"/>
      <c r="K43" s="193"/>
      <c r="L43" s="86"/>
      <c r="M43" s="86"/>
      <c r="Q43" s="86"/>
      <c r="R43" s="203"/>
      <c r="S43" s="203"/>
      <c r="T43" s="203"/>
      <c r="U43" s="9"/>
      <c r="V43" s="9"/>
      <c r="W43" s="9"/>
      <c r="X43" s="9"/>
      <c r="Y43" s="9"/>
      <c r="Z43" s="9"/>
    </row>
    <row r="44">
      <c r="A44" s="9"/>
      <c r="B44" s="204">
        <v>6.0</v>
      </c>
      <c r="C44" s="192" t="s">
        <v>221</v>
      </c>
      <c r="D44" s="198"/>
      <c r="E44" s="198">
        <f>6000000*2</f>
        <v>12000000</v>
      </c>
      <c r="F44" s="198">
        <f>E44*12</f>
        <v>144000000</v>
      </c>
      <c r="G44" s="198">
        <f t="shared" ref="G44:J44" si="11">F44*(1+5%)</f>
        <v>151200000</v>
      </c>
      <c r="H44" s="206">
        <f t="shared" si="11"/>
        <v>158760000</v>
      </c>
      <c r="I44" s="206">
        <f t="shared" si="11"/>
        <v>166698000</v>
      </c>
      <c r="J44" s="206">
        <f t="shared" si="11"/>
        <v>175032900</v>
      </c>
      <c r="K44" s="199"/>
      <c r="L44" s="86"/>
      <c r="M44" s="86"/>
      <c r="N44" s="201"/>
      <c r="O44" s="201"/>
      <c r="P44" s="201"/>
      <c r="Q44" s="86"/>
      <c r="R44" s="207"/>
      <c r="S44" s="208"/>
      <c r="T44" s="208"/>
      <c r="U44" s="210"/>
      <c r="V44" s="210"/>
      <c r="W44" s="9"/>
      <c r="X44" s="9"/>
      <c r="Y44" s="9"/>
      <c r="Z44" s="9"/>
    </row>
    <row r="45">
      <c r="A45" s="9"/>
      <c r="B45" s="202" t="s">
        <v>223</v>
      </c>
      <c r="C45" s="192" t="s">
        <v>224</v>
      </c>
      <c r="D45" s="192"/>
      <c r="E45" s="192"/>
      <c r="F45" s="192"/>
      <c r="G45" s="192"/>
      <c r="H45" s="192"/>
      <c r="I45" s="192"/>
      <c r="J45" s="192"/>
      <c r="K45" s="199"/>
      <c r="L45" s="86"/>
      <c r="M45" s="86"/>
      <c r="N45" s="86"/>
      <c r="O45" s="212" t="s">
        <v>225</v>
      </c>
      <c r="P45" s="9"/>
      <c r="Q45" s="9"/>
      <c r="R45" s="213"/>
      <c r="S45" s="213"/>
      <c r="T45" s="213"/>
      <c r="U45" s="213"/>
      <c r="V45" s="210"/>
      <c r="W45" s="9"/>
      <c r="X45" s="9"/>
      <c r="Y45" s="9"/>
      <c r="Z45" s="9"/>
    </row>
    <row r="46">
      <c r="A46" s="9"/>
      <c r="B46" s="204">
        <v>7.0</v>
      </c>
      <c r="C46" s="192" t="s">
        <v>226</v>
      </c>
      <c r="D46" s="198"/>
      <c r="E46" s="198">
        <f>300000*2</f>
        <v>600000</v>
      </c>
      <c r="F46" s="206">
        <f t="shared" ref="F46:F48" si="13">E46*12</f>
        <v>7200000</v>
      </c>
      <c r="G46" s="206">
        <f t="shared" ref="G46:J46" si="12">F46*(1+5%)</f>
        <v>7560000</v>
      </c>
      <c r="H46" s="206">
        <f t="shared" si="12"/>
        <v>7938000</v>
      </c>
      <c r="I46" s="206">
        <f t="shared" si="12"/>
        <v>8334900</v>
      </c>
      <c r="J46" s="206">
        <f t="shared" si="12"/>
        <v>8751645</v>
      </c>
      <c r="K46" s="193"/>
      <c r="L46" s="86"/>
      <c r="M46" s="86"/>
      <c r="N46" s="86"/>
      <c r="O46" s="80" t="s">
        <v>230</v>
      </c>
      <c r="P46" s="10"/>
      <c r="Q46" s="5"/>
      <c r="R46" s="213"/>
      <c r="S46" s="213"/>
      <c r="T46" s="213"/>
      <c r="U46" s="213"/>
      <c r="V46" s="210"/>
      <c r="W46" s="9"/>
      <c r="X46" s="9"/>
      <c r="Y46" s="9"/>
      <c r="Z46" s="9"/>
    </row>
    <row r="47">
      <c r="A47" s="9"/>
      <c r="B47" s="204">
        <v>8.0</v>
      </c>
      <c r="C47" s="192" t="s">
        <v>232</v>
      </c>
      <c r="D47" s="198"/>
      <c r="E47" s="198">
        <f>75000*2</f>
        <v>150000</v>
      </c>
      <c r="F47" s="198">
        <f t="shared" si="13"/>
        <v>1800000</v>
      </c>
      <c r="G47" s="206">
        <f t="shared" ref="G47:J47" si="14">F47*(1+3%)</f>
        <v>1854000</v>
      </c>
      <c r="H47" s="206">
        <f t="shared" si="14"/>
        <v>1909620</v>
      </c>
      <c r="I47" s="206">
        <f t="shared" si="14"/>
        <v>1966908.6</v>
      </c>
      <c r="J47" s="206">
        <f t="shared" si="14"/>
        <v>2025915.858</v>
      </c>
      <c r="K47" s="193"/>
      <c r="L47" s="86"/>
      <c r="M47" s="86"/>
      <c r="N47" s="86"/>
      <c r="O47" s="84" t="s">
        <v>29</v>
      </c>
      <c r="P47" s="43" t="s">
        <v>86</v>
      </c>
      <c r="Q47" s="43" t="s">
        <v>87</v>
      </c>
      <c r="R47" s="213"/>
      <c r="S47" s="213"/>
      <c r="T47" s="213"/>
      <c r="U47" s="213"/>
      <c r="V47" s="210"/>
      <c r="W47" s="9"/>
      <c r="X47" s="9"/>
      <c r="Y47" s="9"/>
      <c r="Z47" s="9"/>
    </row>
    <row r="48">
      <c r="A48" s="9"/>
      <c r="B48" s="204">
        <v>9.0</v>
      </c>
      <c r="C48" s="192" t="s">
        <v>234</v>
      </c>
      <c r="D48" s="198"/>
      <c r="E48" s="206">
        <f>150000*2</f>
        <v>300000</v>
      </c>
      <c r="F48" s="206">
        <f t="shared" si="13"/>
        <v>3600000</v>
      </c>
      <c r="G48" s="206">
        <f t="shared" ref="G48:J48" si="15">F48*(1+5%)</f>
        <v>3780000</v>
      </c>
      <c r="H48" s="206">
        <f t="shared" si="15"/>
        <v>3969000</v>
      </c>
      <c r="I48" s="206">
        <f t="shared" si="15"/>
        <v>4167450</v>
      </c>
      <c r="J48" s="206">
        <f t="shared" si="15"/>
        <v>4375822.5</v>
      </c>
      <c r="K48" s="199"/>
      <c r="L48" s="86"/>
      <c r="M48" s="86"/>
      <c r="N48" s="86"/>
      <c r="O48" s="146">
        <v>1.0</v>
      </c>
      <c r="P48" s="13" t="s">
        <v>237</v>
      </c>
      <c r="Q48" s="218">
        <v>500000.0</v>
      </c>
      <c r="R48" s="86"/>
      <c r="S48" s="86"/>
      <c r="T48" s="86"/>
      <c r="U48" s="86"/>
      <c r="V48" s="86"/>
      <c r="W48" s="9"/>
      <c r="X48" s="9"/>
      <c r="Y48" s="9"/>
      <c r="Z48" s="9"/>
    </row>
    <row r="49">
      <c r="K49" s="220"/>
      <c r="O49" s="146">
        <v>2.0</v>
      </c>
      <c r="P49" s="13" t="s">
        <v>85</v>
      </c>
      <c r="Q49" s="218">
        <f>E18</f>
        <v>150000</v>
      </c>
    </row>
    <row r="50">
      <c r="A50" s="86"/>
      <c r="B50" s="222" t="s">
        <v>75</v>
      </c>
      <c r="C50" s="5"/>
      <c r="D50" s="223"/>
      <c r="E50" s="223">
        <f t="shared" ref="E50:J50" si="16">SUM(E38:E48)</f>
        <v>58745000</v>
      </c>
      <c r="F50" s="223">
        <f t="shared" si="16"/>
        <v>704940000</v>
      </c>
      <c r="G50" s="223">
        <f t="shared" si="16"/>
        <v>734667600</v>
      </c>
      <c r="H50" s="223">
        <f t="shared" si="16"/>
        <v>765661164</v>
      </c>
      <c r="I50" s="223">
        <f t="shared" si="16"/>
        <v>797975184.4</v>
      </c>
      <c r="J50" s="223">
        <f t="shared" si="16"/>
        <v>831666526.1</v>
      </c>
      <c r="K50" s="237" t="s">
        <v>242</v>
      </c>
      <c r="L50" s="86"/>
      <c r="M50" s="86"/>
      <c r="N50" s="86"/>
      <c r="O50" s="146">
        <v>3.0</v>
      </c>
      <c r="P50" s="13" t="s">
        <v>120</v>
      </c>
      <c r="Q50" s="218">
        <f>G31</f>
        <v>91182000</v>
      </c>
      <c r="R50" s="86"/>
      <c r="S50" s="86"/>
      <c r="T50" s="86"/>
      <c r="U50" s="86"/>
      <c r="V50" s="86"/>
      <c r="W50" s="9"/>
      <c r="X50" s="9"/>
      <c r="Y50" s="9"/>
      <c r="Z50" s="9"/>
    </row>
    <row r="51">
      <c r="A51" s="86"/>
      <c r="B51" s="187"/>
      <c r="C51" s="86"/>
      <c r="D51" s="86"/>
      <c r="E51" s="86"/>
      <c r="F51" s="86"/>
      <c r="G51" s="86"/>
      <c r="H51" s="86"/>
      <c r="I51" s="86"/>
      <c r="J51" s="86"/>
      <c r="K51" s="86"/>
      <c r="L51" s="86"/>
      <c r="M51" s="86"/>
      <c r="N51" s="86"/>
      <c r="O51" s="242" t="s">
        <v>75</v>
      </c>
      <c r="P51" s="14"/>
      <c r="Q51" s="245">
        <f>sum(Q48:Q50)</f>
        <v>91832000</v>
      </c>
      <c r="R51" s="86"/>
      <c r="S51" s="86"/>
      <c r="T51" s="86"/>
      <c r="U51" s="86"/>
      <c r="V51" s="86"/>
      <c r="W51" s="9"/>
      <c r="X51" s="9"/>
      <c r="Y51" s="9"/>
      <c r="Z51" s="9"/>
    </row>
    <row r="52">
      <c r="A52" s="86"/>
      <c r="B52" s="187"/>
      <c r="C52" s="86"/>
      <c r="D52" s="86"/>
      <c r="E52" s="86"/>
      <c r="F52" s="86"/>
      <c r="G52" s="86"/>
      <c r="H52" s="86"/>
      <c r="I52" s="86"/>
      <c r="J52" s="86"/>
      <c r="K52" s="86"/>
      <c r="L52" s="86"/>
      <c r="M52" s="86"/>
      <c r="N52" s="86"/>
      <c r="O52" s="25"/>
      <c r="P52" s="21"/>
      <c r="Q52" s="18"/>
      <c r="R52" s="86"/>
      <c r="S52" s="86"/>
      <c r="T52" s="86"/>
      <c r="U52" s="86"/>
      <c r="V52" s="86"/>
      <c r="W52" s="9"/>
      <c r="X52" s="9"/>
      <c r="Y52" s="9"/>
      <c r="Z52" s="9"/>
    </row>
    <row r="53">
      <c r="A53" s="9"/>
      <c r="B53" s="80" t="s">
        <v>253</v>
      </c>
      <c r="C53" s="10"/>
      <c r="D53" s="10"/>
      <c r="E53" s="10"/>
      <c r="F53" s="10"/>
      <c r="G53" s="10"/>
      <c r="H53" s="10"/>
      <c r="I53" s="10"/>
      <c r="J53" s="10"/>
      <c r="K53" s="5"/>
      <c r="L53" s="9"/>
      <c r="M53" s="9"/>
      <c r="N53" s="86"/>
      <c r="O53" s="201"/>
      <c r="P53" s="201"/>
      <c r="Q53" s="201"/>
      <c r="R53" s="86"/>
      <c r="S53" s="86"/>
      <c r="T53" s="86"/>
      <c r="U53" s="86"/>
      <c r="V53" s="86"/>
      <c r="W53" s="9"/>
      <c r="X53" s="9"/>
      <c r="Y53" s="9"/>
      <c r="Z53" s="9"/>
    </row>
    <row r="54">
      <c r="A54" s="9"/>
      <c r="B54" s="84" t="s">
        <v>29</v>
      </c>
      <c r="C54" s="84" t="s">
        <v>86</v>
      </c>
      <c r="D54" s="84" t="s">
        <v>104</v>
      </c>
      <c r="E54" s="248">
        <v>46065.0</v>
      </c>
      <c r="F54" s="84" t="s">
        <v>116</v>
      </c>
      <c r="G54" s="84" t="s">
        <v>141</v>
      </c>
      <c r="H54" s="84" t="s">
        <v>143</v>
      </c>
      <c r="I54" s="84" t="s">
        <v>144</v>
      </c>
      <c r="J54" s="84" t="s">
        <v>145</v>
      </c>
      <c r="K54" s="84" t="s">
        <v>88</v>
      </c>
      <c r="L54" s="9"/>
      <c r="M54" s="79"/>
      <c r="N54" s="86"/>
      <c r="O54" s="86"/>
      <c r="P54" s="86"/>
      <c r="Q54" s="86"/>
      <c r="R54" s="86"/>
      <c r="S54" s="86"/>
      <c r="T54" s="86"/>
      <c r="U54" s="86"/>
      <c r="V54" s="86"/>
      <c r="W54" s="9"/>
      <c r="X54" s="9"/>
      <c r="Y54" s="9"/>
      <c r="Z54" s="9"/>
    </row>
    <row r="55">
      <c r="A55" s="9"/>
      <c r="B55" s="146">
        <v>1.0</v>
      </c>
      <c r="C55" s="13" t="s">
        <v>258</v>
      </c>
      <c r="D55" s="249">
        <f>SUM(O24:O26)</f>
        <v>15420000</v>
      </c>
      <c r="E55" s="249">
        <f>O31</f>
        <v>16705000</v>
      </c>
      <c r="F55" s="249">
        <f>D55*12</f>
        <v>185040000</v>
      </c>
      <c r="G55" s="250">
        <f t="shared" ref="G55:J55" si="17">F55*(1+10%)</f>
        <v>203544000</v>
      </c>
      <c r="H55" s="250">
        <f t="shared" si="17"/>
        <v>223898400</v>
      </c>
      <c r="I55" s="250">
        <f t="shared" si="17"/>
        <v>246288240</v>
      </c>
      <c r="J55" s="250">
        <f t="shared" si="17"/>
        <v>270917064</v>
      </c>
      <c r="K55" s="26"/>
      <c r="L55" s="9"/>
      <c r="M55" s="9"/>
      <c r="N55" s="86"/>
      <c r="O55" s="86"/>
      <c r="P55" s="86"/>
      <c r="Q55" s="86"/>
      <c r="R55" s="86"/>
      <c r="S55" s="86"/>
      <c r="T55" s="86"/>
      <c r="U55" s="86"/>
      <c r="V55" s="86"/>
      <c r="W55" s="9"/>
      <c r="X55" s="9"/>
      <c r="Y55" s="9"/>
      <c r="Z55" s="9"/>
    </row>
    <row r="56">
      <c r="A56" s="9"/>
      <c r="B56" s="146">
        <v>2.0</v>
      </c>
      <c r="C56" s="13" t="s">
        <v>265</v>
      </c>
      <c r="D56" s="249">
        <f>3%*D55</f>
        <v>462600</v>
      </c>
      <c r="E56" s="249">
        <f>3%*E55</f>
        <v>501150</v>
      </c>
      <c r="F56" s="249">
        <f>(D56+(E56-D56))*12</f>
        <v>6013800</v>
      </c>
      <c r="G56" s="250">
        <f t="shared" ref="G56:J56" si="18">F56*(1+10%)</f>
        <v>6615180</v>
      </c>
      <c r="H56" s="250">
        <f t="shared" si="18"/>
        <v>7276698</v>
      </c>
      <c r="I56" s="250">
        <f t="shared" si="18"/>
        <v>8004367.8</v>
      </c>
      <c r="J56" s="250">
        <f t="shared" si="18"/>
        <v>8804804.58</v>
      </c>
      <c r="K56" s="26"/>
      <c r="L56" s="9"/>
      <c r="M56" s="9"/>
      <c r="N56" s="86"/>
      <c r="O56" s="86"/>
      <c r="P56" s="86"/>
      <c r="Q56" s="86"/>
      <c r="R56" s="86"/>
      <c r="S56" s="86"/>
      <c r="T56" s="86"/>
      <c r="U56" s="86"/>
      <c r="V56" s="86"/>
      <c r="W56" s="9"/>
      <c r="X56" s="9"/>
      <c r="Y56" s="9"/>
      <c r="Z56" s="9"/>
    </row>
    <row r="57">
      <c r="A57" s="9"/>
      <c r="B57" s="146">
        <v>3.0</v>
      </c>
      <c r="C57" s="13" t="s">
        <v>267</v>
      </c>
      <c r="D57" s="253">
        <v>500000.0</v>
      </c>
      <c r="E57" s="253">
        <v>500000.0</v>
      </c>
      <c r="F57" s="250">
        <f>D57*12</f>
        <v>6000000</v>
      </c>
      <c r="G57" s="250">
        <f t="shared" ref="G57:J57" si="19">F57*(1+10%)</f>
        <v>6600000</v>
      </c>
      <c r="H57" s="250">
        <f t="shared" si="19"/>
        <v>7260000</v>
      </c>
      <c r="I57" s="250">
        <f t="shared" si="19"/>
        <v>7986000</v>
      </c>
      <c r="J57" s="250">
        <f t="shared" si="19"/>
        <v>8784600</v>
      </c>
      <c r="K57" s="26"/>
      <c r="L57" s="9"/>
      <c r="M57" s="9"/>
      <c r="N57" s="86"/>
      <c r="O57" s="86"/>
      <c r="P57" s="86"/>
      <c r="Q57" s="86"/>
      <c r="R57" s="86"/>
      <c r="S57" s="86"/>
      <c r="T57" s="86"/>
      <c r="U57" s="86"/>
      <c r="V57" s="86"/>
      <c r="W57" s="9"/>
      <c r="X57" s="9"/>
      <c r="Y57" s="9"/>
      <c r="Z57" s="9"/>
    </row>
    <row r="58">
      <c r="A58" s="9"/>
      <c r="B58" s="146">
        <v>4.0</v>
      </c>
      <c r="C58" s="13" t="s">
        <v>268</v>
      </c>
      <c r="D58" s="218">
        <v>2000000.0</v>
      </c>
      <c r="E58" s="253"/>
      <c r="F58" s="250">
        <f>D58</f>
        <v>2000000</v>
      </c>
      <c r="G58" s="250"/>
      <c r="H58" s="250"/>
      <c r="I58" s="250"/>
      <c r="J58" s="250"/>
      <c r="K58" s="26"/>
      <c r="L58" s="9"/>
      <c r="M58" s="9"/>
      <c r="N58" s="86"/>
      <c r="O58" s="86"/>
      <c r="P58" s="86"/>
      <c r="Q58" s="86"/>
      <c r="R58" s="86"/>
      <c r="S58" s="86"/>
      <c r="T58" s="86"/>
      <c r="U58" s="86"/>
      <c r="V58" s="86"/>
      <c r="W58" s="9"/>
      <c r="X58" s="9"/>
      <c r="Y58" s="9"/>
      <c r="Z58" s="9"/>
    </row>
    <row r="59">
      <c r="A59" s="9"/>
      <c r="B59" s="254" t="s">
        <v>75</v>
      </c>
      <c r="C59" s="5"/>
      <c r="D59" s="255">
        <f t="shared" ref="D59:J59" si="20">sum(D55:D58)</f>
        <v>18382600</v>
      </c>
      <c r="E59" s="255">
        <f t="shared" si="20"/>
        <v>17706150</v>
      </c>
      <c r="F59" s="255">
        <f t="shared" si="20"/>
        <v>199053800</v>
      </c>
      <c r="G59" s="255">
        <f t="shared" si="20"/>
        <v>216759180</v>
      </c>
      <c r="H59" s="255">
        <f t="shared" si="20"/>
        <v>238435098</v>
      </c>
      <c r="I59" s="255">
        <f t="shared" si="20"/>
        <v>262278607.8</v>
      </c>
      <c r="J59" s="255">
        <f t="shared" si="20"/>
        <v>288506468.6</v>
      </c>
      <c r="K59" s="256"/>
      <c r="L59" s="9"/>
      <c r="M59" s="9"/>
      <c r="N59" s="86"/>
      <c r="O59" s="86"/>
      <c r="P59" s="86"/>
      <c r="Q59" s="86"/>
      <c r="R59" s="86"/>
      <c r="S59" s="86"/>
      <c r="T59" s="86"/>
      <c r="U59" s="86"/>
      <c r="V59" s="86"/>
      <c r="W59" s="9"/>
      <c r="X59" s="9"/>
      <c r="Y59" s="9"/>
      <c r="Z59" s="9"/>
    </row>
    <row r="60">
      <c r="A60" s="9"/>
      <c r="B60" s="77"/>
      <c r="C60" s="9"/>
      <c r="D60" s="9"/>
      <c r="E60" s="9"/>
      <c r="F60" s="9"/>
      <c r="G60" s="9"/>
      <c r="H60" s="9"/>
      <c r="I60" s="9"/>
      <c r="J60" s="9"/>
      <c r="K60" s="9"/>
      <c r="L60" s="9"/>
      <c r="M60" s="9"/>
      <c r="N60" s="86"/>
      <c r="O60" s="86"/>
      <c r="P60" s="86"/>
      <c r="Q60" s="86"/>
      <c r="R60" s="86"/>
      <c r="S60" s="86"/>
      <c r="T60" s="86"/>
      <c r="U60" s="86"/>
      <c r="V60" s="86"/>
      <c r="W60" s="9"/>
      <c r="X60" s="9"/>
      <c r="Y60" s="9"/>
      <c r="Z60" s="9"/>
    </row>
    <row r="61">
      <c r="A61" s="9"/>
      <c r="B61" s="77"/>
      <c r="C61" s="9"/>
      <c r="D61" s="9"/>
      <c r="E61" s="9"/>
      <c r="F61" s="9"/>
      <c r="G61" s="9"/>
      <c r="H61" s="9"/>
      <c r="I61" s="9"/>
      <c r="J61" s="9"/>
      <c r="K61" s="9"/>
      <c r="L61" s="9"/>
      <c r="M61" s="9"/>
      <c r="N61" s="86"/>
      <c r="O61" s="86"/>
      <c r="P61" s="86"/>
      <c r="Q61" s="86"/>
      <c r="R61" s="86"/>
      <c r="S61" s="86"/>
      <c r="T61" s="86"/>
      <c r="U61" s="86"/>
      <c r="V61" s="86"/>
      <c r="W61" s="9"/>
      <c r="X61" s="9"/>
      <c r="Y61" s="9"/>
      <c r="Z61" s="9"/>
    </row>
    <row r="62">
      <c r="A62" s="9"/>
      <c r="B62" s="77"/>
      <c r="C62" s="9"/>
      <c r="D62" s="9"/>
      <c r="E62" s="9"/>
      <c r="F62" s="9"/>
      <c r="G62" s="9"/>
      <c r="H62" s="9"/>
      <c r="I62" s="9"/>
      <c r="J62" s="9"/>
      <c r="K62" s="9"/>
      <c r="L62" s="9"/>
      <c r="M62" s="9"/>
      <c r="N62" s="86"/>
      <c r="O62" s="86"/>
      <c r="P62" s="86"/>
      <c r="Q62" s="86"/>
      <c r="R62" s="86"/>
      <c r="S62" s="86"/>
      <c r="T62" s="86"/>
      <c r="U62" s="86"/>
      <c r="V62" s="86"/>
      <c r="W62" s="9"/>
      <c r="X62" s="9"/>
      <c r="Y62" s="9"/>
      <c r="Z62" s="9"/>
    </row>
    <row r="63">
      <c r="A63" s="9"/>
      <c r="B63" s="80" t="s">
        <v>270</v>
      </c>
      <c r="C63" s="10"/>
      <c r="D63" s="10"/>
      <c r="E63" s="10"/>
      <c r="F63" s="10"/>
      <c r="G63" s="10"/>
      <c r="H63" s="10"/>
      <c r="I63" s="10"/>
      <c r="J63" s="5"/>
      <c r="K63" s="9"/>
      <c r="L63" s="9"/>
      <c r="M63" s="9"/>
      <c r="N63" s="86"/>
      <c r="O63" s="86"/>
      <c r="P63" s="86"/>
      <c r="Q63" s="86"/>
      <c r="R63" s="86"/>
      <c r="S63" s="86"/>
      <c r="T63" s="86"/>
      <c r="U63" s="86"/>
      <c r="V63" s="86"/>
      <c r="W63" s="9"/>
      <c r="X63" s="9"/>
      <c r="Y63" s="9"/>
      <c r="Z63" s="9"/>
    </row>
    <row r="64">
      <c r="A64" s="9"/>
      <c r="B64" s="257" t="s">
        <v>272</v>
      </c>
      <c r="C64" s="257" t="s">
        <v>273</v>
      </c>
      <c r="D64" s="257"/>
      <c r="E64" s="257" t="s">
        <v>124</v>
      </c>
      <c r="F64" s="257" t="s">
        <v>116</v>
      </c>
      <c r="G64" s="257" t="s">
        <v>141</v>
      </c>
      <c r="H64" s="257" t="s">
        <v>143</v>
      </c>
      <c r="I64" s="257" t="s">
        <v>144</v>
      </c>
      <c r="J64" s="260" t="s">
        <v>145</v>
      </c>
      <c r="K64" s="9"/>
      <c r="L64" s="9"/>
      <c r="M64" s="9"/>
      <c r="N64" s="86"/>
      <c r="O64" s="86"/>
      <c r="P64" s="86"/>
      <c r="Q64" s="86"/>
      <c r="R64" s="86"/>
      <c r="S64" s="86"/>
      <c r="T64" s="86"/>
      <c r="U64" s="86"/>
      <c r="V64" s="86"/>
      <c r="W64" s="9"/>
      <c r="X64" s="9"/>
      <c r="Y64" s="9"/>
      <c r="Z64" s="9"/>
    </row>
    <row r="65" ht="35.25" customHeight="1">
      <c r="A65" s="9"/>
      <c r="B65" s="18"/>
      <c r="C65" s="18"/>
      <c r="D65" s="18"/>
      <c r="E65" s="18"/>
      <c r="F65" s="18"/>
      <c r="G65" s="18"/>
      <c r="H65" s="18"/>
      <c r="I65" s="18"/>
      <c r="J65" s="18"/>
      <c r="K65" s="9"/>
      <c r="L65" s="9"/>
      <c r="M65" s="9"/>
      <c r="N65" s="86"/>
      <c r="O65" s="86"/>
      <c r="P65" s="86"/>
      <c r="Q65" s="86"/>
      <c r="R65" s="86"/>
      <c r="S65" s="86"/>
      <c r="T65" s="86"/>
      <c r="U65" s="86"/>
      <c r="V65" s="86"/>
      <c r="W65" s="9"/>
      <c r="X65" s="9"/>
      <c r="Y65" s="9"/>
      <c r="Z65" s="9"/>
    </row>
    <row r="66">
      <c r="A66" s="9"/>
      <c r="B66" s="146">
        <v>5.0</v>
      </c>
      <c r="C66" s="13" t="s">
        <v>276</v>
      </c>
      <c r="D66" s="26"/>
      <c r="E66" s="263">
        <f>G31</f>
        <v>91182000</v>
      </c>
      <c r="F66" s="263">
        <f t="shared" ref="F66:J66" si="21">$E$66/5</f>
        <v>18236400</v>
      </c>
      <c r="G66" s="263">
        <f t="shared" si="21"/>
        <v>18236400</v>
      </c>
      <c r="H66" s="263">
        <f t="shared" si="21"/>
        <v>18236400</v>
      </c>
      <c r="I66" s="263">
        <f t="shared" si="21"/>
        <v>18236400</v>
      </c>
      <c r="J66" s="263">
        <f t="shared" si="21"/>
        <v>18236400</v>
      </c>
      <c r="K66" s="9"/>
      <c r="L66" s="9"/>
      <c r="M66" s="9"/>
      <c r="N66" s="86"/>
      <c r="O66" s="86"/>
      <c r="P66" s="86"/>
      <c r="Q66" s="86"/>
      <c r="R66" s="86"/>
      <c r="S66" s="86"/>
      <c r="T66" s="86"/>
      <c r="U66" s="86"/>
      <c r="V66" s="86"/>
      <c r="W66" s="9"/>
      <c r="X66" s="9"/>
      <c r="Y66" s="9"/>
      <c r="Z66" s="9"/>
    </row>
    <row r="67">
      <c r="A67" s="9"/>
      <c r="B67" s="77"/>
      <c r="C67" s="9"/>
      <c r="D67" s="9"/>
      <c r="E67" s="9"/>
      <c r="F67" s="9"/>
      <c r="G67" s="9"/>
      <c r="H67" s="9"/>
      <c r="I67" s="9"/>
      <c r="J67" s="9"/>
      <c r="K67" s="9"/>
      <c r="L67" s="9"/>
      <c r="M67" s="9"/>
      <c r="N67" s="9"/>
      <c r="O67" s="9"/>
      <c r="P67" s="9"/>
      <c r="Q67" s="9"/>
      <c r="R67" s="9"/>
      <c r="S67" s="9"/>
      <c r="T67" s="9"/>
      <c r="U67" s="9"/>
      <c r="V67" s="9"/>
      <c r="W67" s="9"/>
      <c r="X67" s="9"/>
      <c r="Y67" s="9"/>
      <c r="Z67" s="9"/>
    </row>
    <row r="68">
      <c r="A68" s="9"/>
      <c r="B68" s="77"/>
      <c r="C68" s="9"/>
      <c r="D68" s="9"/>
      <c r="E68" s="9"/>
      <c r="F68" s="9"/>
      <c r="G68" s="9"/>
      <c r="H68" s="9"/>
      <c r="I68" s="9"/>
      <c r="J68" s="9"/>
      <c r="K68" s="9"/>
      <c r="L68" s="9"/>
      <c r="M68" s="9"/>
      <c r="N68" s="9"/>
      <c r="O68" s="9"/>
      <c r="P68" s="9"/>
      <c r="Q68" s="9"/>
      <c r="R68" s="9"/>
      <c r="S68" s="9"/>
      <c r="T68" s="9"/>
      <c r="U68" s="9"/>
      <c r="V68" s="9"/>
      <c r="W68" s="9"/>
      <c r="X68" s="9"/>
      <c r="Y68" s="9"/>
      <c r="Z68" s="9"/>
    </row>
    <row r="69">
      <c r="A69" s="9"/>
      <c r="B69" s="268" t="s">
        <v>279</v>
      </c>
      <c r="C69" s="10"/>
      <c r="D69" s="10"/>
      <c r="E69" s="10"/>
      <c r="F69" s="10"/>
      <c r="G69" s="10"/>
      <c r="H69" s="10"/>
      <c r="I69" s="10"/>
      <c r="J69" s="10"/>
      <c r="K69" s="10"/>
      <c r="L69" s="10"/>
      <c r="M69" s="10"/>
      <c r="N69" s="10"/>
      <c r="O69" s="10"/>
      <c r="P69" s="5"/>
      <c r="Q69" s="9"/>
      <c r="R69" s="9"/>
      <c r="S69" s="9"/>
      <c r="T69" s="9"/>
      <c r="U69" s="9"/>
      <c r="V69" s="9"/>
      <c r="W69" s="9"/>
      <c r="X69" s="9"/>
      <c r="Y69" s="9"/>
      <c r="Z69" s="9"/>
    </row>
    <row r="70">
      <c r="A70" s="9"/>
      <c r="B70" s="269" t="s">
        <v>29</v>
      </c>
      <c r="C70" s="271" t="s">
        <v>86</v>
      </c>
      <c r="D70" s="271"/>
      <c r="E70" s="271" t="s">
        <v>124</v>
      </c>
      <c r="F70" s="41" t="s">
        <v>116</v>
      </c>
      <c r="G70" s="5"/>
      <c r="H70" s="41" t="s">
        <v>141</v>
      </c>
      <c r="I70" s="5"/>
      <c r="J70" s="41" t="s">
        <v>143</v>
      </c>
      <c r="K70" s="5"/>
      <c r="L70" s="41" t="s">
        <v>144</v>
      </c>
      <c r="M70" s="5"/>
      <c r="N70" s="41" t="s">
        <v>145</v>
      </c>
      <c r="O70" s="5"/>
      <c r="P70" s="269" t="s">
        <v>88</v>
      </c>
      <c r="Q70" s="9"/>
      <c r="R70" s="9"/>
      <c r="S70" s="9"/>
      <c r="T70" s="9"/>
      <c r="U70" s="9"/>
      <c r="V70" s="9"/>
      <c r="W70" s="9"/>
      <c r="X70" s="9"/>
      <c r="Y70" s="9"/>
      <c r="Z70" s="9"/>
    </row>
    <row r="71">
      <c r="A71" s="9"/>
      <c r="B71" s="18"/>
      <c r="C71" s="18"/>
      <c r="D71" s="18"/>
      <c r="E71" s="18"/>
      <c r="F71" s="40" t="s">
        <v>11</v>
      </c>
      <c r="G71" s="40" t="s">
        <v>125</v>
      </c>
      <c r="H71" s="40" t="s">
        <v>11</v>
      </c>
      <c r="I71" s="40" t="s">
        <v>125</v>
      </c>
      <c r="J71" s="40" t="s">
        <v>11</v>
      </c>
      <c r="K71" s="40" t="s">
        <v>125</v>
      </c>
      <c r="L71" s="40" t="s">
        <v>11</v>
      </c>
      <c r="M71" s="40" t="s">
        <v>125</v>
      </c>
      <c r="N71" s="40" t="s">
        <v>11</v>
      </c>
      <c r="O71" s="40" t="s">
        <v>125</v>
      </c>
      <c r="P71" s="18"/>
      <c r="Q71" s="9"/>
      <c r="R71" s="9"/>
      <c r="S71" s="9"/>
      <c r="T71" s="9"/>
      <c r="U71" s="9"/>
      <c r="V71" s="9"/>
      <c r="W71" s="9"/>
      <c r="X71" s="9"/>
      <c r="Y71" s="9"/>
      <c r="Z71" s="9"/>
    </row>
    <row r="72">
      <c r="A72" s="9"/>
      <c r="B72" s="87">
        <v>1.0</v>
      </c>
      <c r="C72" s="277" t="s">
        <v>282</v>
      </c>
      <c r="D72" s="278"/>
      <c r="E72" s="278" t="s">
        <v>283</v>
      </c>
      <c r="F72" s="278" t="s">
        <v>284</v>
      </c>
      <c r="G72" s="218">
        <v>2500000.0</v>
      </c>
      <c r="H72" s="278" t="s">
        <v>285</v>
      </c>
      <c r="I72" s="218">
        <v>3500000.0</v>
      </c>
      <c r="J72" s="278" t="s">
        <v>286</v>
      </c>
      <c r="K72" s="218">
        <v>4500000.0</v>
      </c>
      <c r="L72" s="278" t="s">
        <v>287</v>
      </c>
      <c r="M72" s="218">
        <v>5000000.0</v>
      </c>
      <c r="N72" s="278" t="s">
        <v>288</v>
      </c>
      <c r="O72" s="218">
        <v>5500000.0</v>
      </c>
      <c r="P72" s="280" t="s">
        <v>289</v>
      </c>
      <c r="Q72" s="9"/>
      <c r="R72" s="9"/>
      <c r="S72" s="9"/>
      <c r="T72" s="9"/>
      <c r="U72" s="9"/>
      <c r="V72" s="9"/>
      <c r="W72" s="9"/>
      <c r="X72" s="9"/>
      <c r="Y72" s="9"/>
      <c r="Z72" s="9"/>
    </row>
    <row r="73">
      <c r="A73" s="9"/>
      <c r="B73" s="87">
        <v>2.0</v>
      </c>
      <c r="C73" s="277" t="s">
        <v>290</v>
      </c>
      <c r="D73" s="278"/>
      <c r="E73" s="278" t="s">
        <v>291</v>
      </c>
      <c r="F73" s="278" t="s">
        <v>292</v>
      </c>
      <c r="G73" s="218">
        <v>3500000.0</v>
      </c>
      <c r="H73" s="278" t="s">
        <v>293</v>
      </c>
      <c r="I73" s="218">
        <v>4000000.0</v>
      </c>
      <c r="J73" s="278" t="s">
        <v>294</v>
      </c>
      <c r="K73" s="218">
        <v>4500000.0</v>
      </c>
      <c r="L73" s="88" t="s">
        <v>295</v>
      </c>
      <c r="M73" s="218">
        <v>5000000.0</v>
      </c>
      <c r="N73" s="278" t="s">
        <v>295</v>
      </c>
      <c r="O73" s="218">
        <v>5000000.0</v>
      </c>
      <c r="P73" s="280" t="s">
        <v>289</v>
      </c>
      <c r="Q73" s="9"/>
      <c r="R73" s="9"/>
      <c r="S73" s="9"/>
      <c r="T73" s="9"/>
      <c r="U73" s="9"/>
      <c r="V73" s="9"/>
      <c r="W73" s="9"/>
      <c r="X73" s="9"/>
      <c r="Y73" s="9"/>
      <c r="Z73" s="9"/>
    </row>
    <row r="74">
      <c r="A74" s="9"/>
      <c r="B74" s="41" t="s">
        <v>75</v>
      </c>
      <c r="C74" s="5"/>
      <c r="D74" s="282"/>
      <c r="E74" s="282"/>
      <c r="F74" s="282"/>
      <c r="G74" s="105">
        <f>SUM(G72:G73)</f>
        <v>6000000</v>
      </c>
      <c r="H74" s="282"/>
      <c r="I74" s="105">
        <f>SUM(I72:I73)</f>
        <v>7500000</v>
      </c>
      <c r="J74" s="282"/>
      <c r="K74" s="105">
        <f>SUM(K72:K73)</f>
        <v>9000000</v>
      </c>
      <c r="L74" s="282"/>
      <c r="M74" s="105">
        <f>SUM(M72:M73)</f>
        <v>10000000</v>
      </c>
      <c r="N74" s="282"/>
      <c r="O74" s="105">
        <f>SUM(O72:O73)</f>
        <v>10500000</v>
      </c>
      <c r="P74" s="107"/>
      <c r="Q74" s="9"/>
      <c r="R74" s="9"/>
      <c r="S74" s="9"/>
      <c r="T74" s="9"/>
      <c r="U74" s="9"/>
      <c r="V74" s="9"/>
      <c r="W74" s="9"/>
      <c r="X74" s="9"/>
      <c r="Y74" s="9"/>
      <c r="Z74" s="9"/>
    </row>
    <row r="75">
      <c r="A75" s="9"/>
      <c r="B75" s="77"/>
      <c r="C75" s="9"/>
      <c r="D75" s="9"/>
      <c r="E75" s="9"/>
      <c r="F75" s="9"/>
      <c r="G75" s="9"/>
      <c r="H75" s="9"/>
      <c r="I75" s="9"/>
      <c r="J75" s="9"/>
      <c r="K75" s="9"/>
      <c r="L75" s="9"/>
      <c r="M75" s="9"/>
      <c r="N75" s="9"/>
      <c r="O75" s="9"/>
      <c r="P75" s="9"/>
      <c r="Q75" s="9"/>
      <c r="R75" s="9"/>
      <c r="S75" s="9"/>
      <c r="T75" s="9"/>
      <c r="U75" s="9"/>
      <c r="V75" s="9"/>
      <c r="W75" s="9"/>
      <c r="X75" s="9"/>
      <c r="Y75" s="9"/>
      <c r="Z75" s="9"/>
    </row>
    <row r="76">
      <c r="A76" s="9"/>
      <c r="B76" s="77"/>
      <c r="C76" s="9"/>
      <c r="D76" s="9"/>
      <c r="E76" s="9"/>
      <c r="F76" s="9"/>
      <c r="G76" s="9"/>
      <c r="H76" s="9"/>
      <c r="I76" s="9"/>
      <c r="J76" s="9"/>
      <c r="K76" s="9"/>
      <c r="L76" s="9"/>
      <c r="M76" s="9"/>
      <c r="N76" s="9"/>
      <c r="O76" s="9"/>
      <c r="P76" s="9"/>
      <c r="Q76" s="9"/>
      <c r="R76" s="9"/>
      <c r="S76" s="9"/>
      <c r="T76" s="9"/>
      <c r="U76" s="9"/>
      <c r="V76" s="9"/>
      <c r="W76" s="9"/>
      <c r="X76" s="9"/>
      <c r="Y76" s="9"/>
      <c r="Z76" s="9"/>
    </row>
    <row r="77">
      <c r="A77" s="9"/>
      <c r="B77" s="77"/>
      <c r="C77" s="9"/>
      <c r="D77" s="9"/>
      <c r="E77" s="9"/>
      <c r="F77" s="9"/>
      <c r="G77" s="9"/>
      <c r="H77" s="9"/>
      <c r="I77" s="9"/>
      <c r="J77" s="9"/>
      <c r="K77" s="9"/>
      <c r="L77" s="9"/>
      <c r="M77" s="9"/>
      <c r="N77" s="9"/>
      <c r="O77" s="9"/>
      <c r="P77" s="9"/>
      <c r="Q77" s="9"/>
      <c r="R77" s="9"/>
      <c r="S77" s="9"/>
      <c r="T77" s="9"/>
      <c r="U77" s="9"/>
      <c r="V77" s="9"/>
      <c r="W77" s="9"/>
      <c r="X77" s="9"/>
      <c r="Y77" s="9"/>
      <c r="Z77" s="9"/>
    </row>
    <row r="78">
      <c r="A78" s="9"/>
      <c r="B78" s="77"/>
      <c r="C78" s="9"/>
      <c r="D78" s="9"/>
      <c r="E78" s="9"/>
      <c r="F78" s="9"/>
      <c r="G78" s="9"/>
      <c r="H78" s="9"/>
      <c r="I78" s="9"/>
      <c r="J78" s="9"/>
      <c r="K78" s="9"/>
      <c r="L78" s="9"/>
      <c r="M78" s="9"/>
      <c r="N78" s="9"/>
      <c r="O78" s="9"/>
      <c r="P78" s="9"/>
      <c r="Q78" s="9"/>
      <c r="R78" s="9"/>
      <c r="S78" s="9"/>
      <c r="T78" s="9"/>
      <c r="U78" s="9"/>
      <c r="V78" s="9"/>
      <c r="W78" s="9"/>
      <c r="X78" s="9"/>
      <c r="Y78" s="9"/>
      <c r="Z78" s="9"/>
    </row>
    <row r="79">
      <c r="A79" s="9"/>
      <c r="B79" s="77"/>
      <c r="C79" s="9"/>
      <c r="D79" s="9"/>
      <c r="E79" s="9"/>
      <c r="F79" s="9"/>
      <c r="G79" s="9"/>
      <c r="H79" s="9"/>
      <c r="I79" s="9"/>
      <c r="J79" s="9"/>
      <c r="K79" s="9"/>
      <c r="L79" s="9"/>
      <c r="M79" s="9"/>
      <c r="N79" s="9"/>
      <c r="O79" s="9"/>
      <c r="P79" s="9"/>
      <c r="Q79" s="9"/>
      <c r="R79" s="9"/>
      <c r="S79" s="9"/>
      <c r="T79" s="9"/>
      <c r="U79" s="9"/>
      <c r="V79" s="9"/>
      <c r="W79" s="9"/>
      <c r="X79" s="9"/>
      <c r="Y79" s="9"/>
      <c r="Z79" s="9"/>
    </row>
    <row r="80">
      <c r="A80" s="9"/>
      <c r="B80" s="77"/>
      <c r="C80" s="9"/>
      <c r="D80" s="9"/>
      <c r="E80" s="9"/>
      <c r="F80" s="9"/>
      <c r="G80" s="9"/>
      <c r="H80" s="9"/>
      <c r="I80" s="9"/>
      <c r="J80" s="9"/>
      <c r="K80" s="9"/>
      <c r="L80" s="9"/>
      <c r="M80" s="9"/>
      <c r="N80" s="9"/>
      <c r="O80" s="9"/>
      <c r="P80" s="9"/>
      <c r="Q80" s="9"/>
      <c r="R80" s="9"/>
      <c r="S80" s="9"/>
      <c r="T80" s="9"/>
      <c r="U80" s="9"/>
      <c r="V80" s="9"/>
      <c r="W80" s="9"/>
      <c r="X80" s="9"/>
      <c r="Y80" s="9"/>
      <c r="Z80" s="9"/>
    </row>
    <row r="81">
      <c r="A81" s="9"/>
      <c r="B81" s="77"/>
      <c r="C81" s="9"/>
      <c r="D81" s="9"/>
      <c r="E81" s="9"/>
      <c r="F81" s="9"/>
      <c r="G81" s="9"/>
      <c r="H81" s="9"/>
      <c r="I81" s="9"/>
      <c r="J81" s="9"/>
      <c r="K81" s="9"/>
      <c r="L81" s="9"/>
      <c r="M81" s="9"/>
      <c r="N81" s="9"/>
      <c r="O81" s="9"/>
      <c r="P81" s="9"/>
      <c r="Q81" s="9"/>
      <c r="R81" s="9"/>
      <c r="S81" s="9"/>
      <c r="T81" s="9"/>
      <c r="U81" s="9"/>
      <c r="V81" s="9"/>
      <c r="W81" s="9"/>
      <c r="X81" s="9"/>
      <c r="Y81" s="9"/>
      <c r="Z81" s="9"/>
    </row>
    <row r="82">
      <c r="A82" s="9"/>
      <c r="B82" s="77"/>
      <c r="C82" s="9"/>
      <c r="D82" s="9"/>
      <c r="E82" s="9"/>
      <c r="F82" s="9"/>
      <c r="G82" s="9"/>
      <c r="H82" s="9"/>
      <c r="I82" s="9"/>
      <c r="J82" s="9"/>
      <c r="K82" s="9"/>
      <c r="L82" s="9"/>
      <c r="M82" s="9"/>
      <c r="N82" s="9"/>
      <c r="O82" s="9"/>
      <c r="P82" s="9"/>
      <c r="Q82" s="9"/>
      <c r="R82" s="9"/>
      <c r="S82" s="9"/>
      <c r="T82" s="9"/>
      <c r="U82" s="9"/>
      <c r="V82" s="9"/>
      <c r="W82" s="9"/>
      <c r="X82" s="9"/>
      <c r="Y82" s="9"/>
      <c r="Z82" s="9"/>
    </row>
    <row r="83">
      <c r="A83" s="9"/>
      <c r="B83" s="77"/>
      <c r="C83" s="9"/>
      <c r="D83" s="9"/>
      <c r="E83" s="9"/>
      <c r="F83" s="9"/>
      <c r="G83" s="9"/>
      <c r="H83" s="9"/>
      <c r="I83" s="9"/>
      <c r="J83" s="9"/>
      <c r="K83" s="9"/>
      <c r="L83" s="9"/>
      <c r="M83" s="9"/>
      <c r="N83" s="9"/>
      <c r="O83" s="9"/>
      <c r="P83" s="9"/>
      <c r="Q83" s="9"/>
      <c r="R83" s="9"/>
      <c r="S83" s="9"/>
      <c r="T83" s="9"/>
      <c r="U83" s="9"/>
      <c r="V83" s="9"/>
      <c r="W83" s="9"/>
      <c r="X83" s="9"/>
      <c r="Y83" s="9"/>
      <c r="Z83" s="9"/>
    </row>
    <row r="84">
      <c r="A84" s="9"/>
      <c r="B84" s="77"/>
      <c r="C84" s="9"/>
      <c r="D84" s="9"/>
      <c r="E84" s="9"/>
      <c r="F84" s="9"/>
      <c r="G84" s="9"/>
      <c r="H84" s="9"/>
      <c r="I84" s="9"/>
      <c r="J84" s="9"/>
      <c r="K84" s="9"/>
      <c r="L84" s="9"/>
      <c r="M84" s="9"/>
      <c r="N84" s="9"/>
      <c r="O84" s="9"/>
      <c r="P84" s="9"/>
      <c r="Q84" s="9"/>
      <c r="R84" s="9"/>
      <c r="S84" s="9"/>
      <c r="T84" s="9"/>
      <c r="U84" s="9"/>
      <c r="V84" s="9"/>
      <c r="W84" s="9"/>
      <c r="X84" s="9"/>
      <c r="Y84" s="9"/>
      <c r="Z84" s="9"/>
    </row>
    <row r="85">
      <c r="A85" s="9"/>
      <c r="B85" s="77"/>
      <c r="C85" s="9"/>
      <c r="D85" s="9"/>
      <c r="E85" s="9"/>
      <c r="F85" s="9"/>
      <c r="G85" s="9"/>
      <c r="H85" s="9"/>
      <c r="I85" s="9"/>
      <c r="J85" s="9"/>
      <c r="K85" s="9"/>
      <c r="L85" s="9"/>
      <c r="M85" s="9"/>
      <c r="N85" s="9"/>
      <c r="O85" s="9"/>
      <c r="P85" s="9"/>
      <c r="Q85" s="9"/>
      <c r="R85" s="9"/>
      <c r="S85" s="9"/>
      <c r="T85" s="9"/>
      <c r="U85" s="9"/>
      <c r="V85" s="9"/>
      <c r="W85" s="9"/>
      <c r="X85" s="9"/>
      <c r="Y85" s="9"/>
      <c r="Z85" s="9"/>
    </row>
    <row r="86">
      <c r="A86" s="9"/>
      <c r="B86" s="77"/>
      <c r="C86" s="9"/>
      <c r="D86" s="9"/>
      <c r="E86" s="9"/>
      <c r="F86" s="9"/>
      <c r="G86" s="9"/>
      <c r="H86" s="9"/>
      <c r="I86" s="9"/>
      <c r="J86" s="9"/>
      <c r="K86" s="9"/>
      <c r="L86" s="9"/>
      <c r="M86" s="9"/>
      <c r="N86" s="9"/>
      <c r="O86" s="9"/>
      <c r="P86" s="9"/>
      <c r="Q86" s="9"/>
      <c r="R86" s="9"/>
      <c r="S86" s="9"/>
      <c r="T86" s="9"/>
      <c r="U86" s="9"/>
      <c r="V86" s="9"/>
      <c r="W86" s="9"/>
      <c r="X86" s="9"/>
      <c r="Y86" s="9"/>
      <c r="Z86" s="9"/>
    </row>
    <row r="87">
      <c r="A87" s="9"/>
      <c r="B87" s="77"/>
      <c r="C87" s="9"/>
      <c r="D87" s="9"/>
      <c r="E87" s="9"/>
      <c r="F87" s="9"/>
      <c r="G87" s="9"/>
      <c r="H87" s="9"/>
      <c r="I87" s="9"/>
      <c r="J87" s="9"/>
      <c r="K87" s="9"/>
      <c r="L87" s="9"/>
      <c r="M87" s="9"/>
      <c r="N87" s="9"/>
      <c r="O87" s="9"/>
      <c r="P87" s="9"/>
      <c r="Q87" s="9"/>
      <c r="R87" s="9"/>
      <c r="S87" s="9"/>
      <c r="T87" s="9"/>
      <c r="U87" s="9"/>
      <c r="V87" s="9"/>
      <c r="W87" s="9"/>
      <c r="X87" s="9"/>
      <c r="Y87" s="9"/>
      <c r="Z87" s="9"/>
    </row>
    <row r="88">
      <c r="A88" s="9"/>
      <c r="B88" s="77"/>
      <c r="C88" s="9"/>
      <c r="D88" s="9"/>
      <c r="E88" s="9"/>
      <c r="F88" s="9"/>
      <c r="G88" s="9"/>
      <c r="H88" s="9"/>
      <c r="I88" s="9"/>
      <c r="J88" s="9"/>
      <c r="K88" s="9"/>
      <c r="L88" s="9"/>
      <c r="M88" s="9"/>
      <c r="N88" s="9"/>
      <c r="O88" s="9"/>
      <c r="P88" s="9"/>
      <c r="Q88" s="9"/>
      <c r="R88" s="9"/>
      <c r="S88" s="9"/>
      <c r="T88" s="9"/>
      <c r="U88" s="9"/>
      <c r="V88" s="9"/>
      <c r="W88" s="9"/>
      <c r="X88" s="9"/>
      <c r="Y88" s="9"/>
      <c r="Z88" s="9"/>
    </row>
    <row r="89">
      <c r="A89" s="9"/>
      <c r="B89" s="77"/>
      <c r="C89" s="9"/>
      <c r="D89" s="9"/>
      <c r="E89" s="9"/>
      <c r="F89" s="9"/>
      <c r="G89" s="9"/>
      <c r="H89" s="9"/>
      <c r="I89" s="9"/>
      <c r="J89" s="9"/>
      <c r="K89" s="9"/>
      <c r="L89" s="9"/>
      <c r="M89" s="9"/>
      <c r="N89" s="9"/>
      <c r="O89" s="9"/>
      <c r="P89" s="9"/>
      <c r="Q89" s="9"/>
      <c r="R89" s="9"/>
      <c r="S89" s="9"/>
      <c r="T89" s="9"/>
      <c r="U89" s="9"/>
      <c r="V89" s="9"/>
      <c r="W89" s="9"/>
      <c r="X89" s="9"/>
      <c r="Y89" s="9"/>
      <c r="Z89" s="9"/>
    </row>
    <row r="90">
      <c r="A90" s="9"/>
      <c r="B90" s="77"/>
      <c r="C90" s="9"/>
      <c r="D90" s="9"/>
      <c r="E90" s="9"/>
      <c r="F90" s="9"/>
      <c r="G90" s="9"/>
      <c r="H90" s="9"/>
      <c r="I90" s="9"/>
      <c r="J90" s="9"/>
      <c r="K90" s="9"/>
      <c r="L90" s="9"/>
      <c r="M90" s="9"/>
      <c r="N90" s="9"/>
      <c r="O90" s="9"/>
      <c r="P90" s="9"/>
      <c r="Q90" s="9"/>
      <c r="R90" s="9"/>
      <c r="S90" s="9"/>
      <c r="T90" s="9"/>
      <c r="U90" s="9"/>
      <c r="V90" s="9"/>
      <c r="W90" s="9"/>
      <c r="X90" s="9"/>
      <c r="Y90" s="9"/>
      <c r="Z90" s="9"/>
    </row>
    <row r="91">
      <c r="A91" s="9"/>
      <c r="B91" s="77"/>
      <c r="C91" s="9"/>
      <c r="D91" s="9"/>
      <c r="E91" s="9"/>
      <c r="F91" s="9"/>
      <c r="G91" s="9"/>
      <c r="H91" s="9"/>
      <c r="I91" s="9"/>
      <c r="J91" s="9"/>
      <c r="K91" s="9"/>
      <c r="L91" s="9"/>
      <c r="M91" s="9"/>
      <c r="N91" s="9"/>
      <c r="O91" s="9"/>
      <c r="P91" s="9"/>
      <c r="Q91" s="9"/>
      <c r="R91" s="9"/>
      <c r="S91" s="9"/>
      <c r="T91" s="9"/>
      <c r="U91" s="9"/>
      <c r="V91" s="9"/>
      <c r="W91" s="9"/>
      <c r="X91" s="9"/>
      <c r="Y91" s="9"/>
      <c r="Z91" s="9"/>
    </row>
    <row r="92">
      <c r="A92" s="9"/>
      <c r="B92" s="77"/>
      <c r="C92" s="9"/>
      <c r="D92" s="9"/>
      <c r="E92" s="9"/>
      <c r="F92" s="9"/>
      <c r="G92" s="9"/>
      <c r="H92" s="9"/>
      <c r="I92" s="9"/>
      <c r="J92" s="9"/>
      <c r="K92" s="9"/>
      <c r="L92" s="9"/>
      <c r="M92" s="9"/>
      <c r="N92" s="9"/>
      <c r="O92" s="9"/>
      <c r="P92" s="9"/>
      <c r="Q92" s="9"/>
      <c r="R92" s="9"/>
      <c r="S92" s="9"/>
      <c r="T92" s="9"/>
      <c r="U92" s="9"/>
      <c r="V92" s="9"/>
      <c r="W92" s="9"/>
      <c r="X92" s="9"/>
      <c r="Y92" s="9"/>
      <c r="Z92" s="9"/>
    </row>
    <row r="93">
      <c r="A93" s="9"/>
      <c r="B93" s="77"/>
      <c r="C93" s="9"/>
      <c r="D93" s="9"/>
      <c r="E93" s="9"/>
      <c r="F93" s="9"/>
      <c r="G93" s="9"/>
      <c r="H93" s="9"/>
      <c r="I93" s="9"/>
      <c r="J93" s="9"/>
      <c r="K93" s="9"/>
      <c r="L93" s="9"/>
      <c r="M93" s="9"/>
      <c r="N93" s="9"/>
      <c r="O93" s="9"/>
      <c r="P93" s="9"/>
      <c r="Q93" s="9"/>
      <c r="R93" s="9"/>
      <c r="S93" s="9"/>
      <c r="T93" s="9"/>
      <c r="U93" s="9"/>
      <c r="V93" s="9"/>
      <c r="W93" s="9"/>
      <c r="X93" s="9"/>
      <c r="Y93" s="9"/>
      <c r="Z93" s="9"/>
    </row>
    <row r="94">
      <c r="A94" s="9"/>
      <c r="B94" s="77"/>
      <c r="C94" s="9"/>
      <c r="D94" s="9"/>
      <c r="E94" s="9"/>
      <c r="F94" s="9"/>
      <c r="G94" s="9"/>
      <c r="H94" s="9"/>
      <c r="I94" s="9"/>
      <c r="J94" s="9"/>
      <c r="K94" s="9"/>
      <c r="L94" s="9"/>
      <c r="M94" s="9"/>
      <c r="N94" s="9"/>
      <c r="O94" s="9"/>
      <c r="P94" s="9"/>
      <c r="Q94" s="9"/>
      <c r="R94" s="9"/>
      <c r="S94" s="9"/>
      <c r="T94" s="9"/>
      <c r="U94" s="9"/>
      <c r="V94" s="9"/>
      <c r="W94" s="9"/>
      <c r="X94" s="9"/>
      <c r="Y94" s="9"/>
      <c r="Z94" s="9"/>
    </row>
    <row r="95">
      <c r="A95" s="9"/>
      <c r="B95" s="77"/>
      <c r="C95" s="9"/>
      <c r="D95" s="9"/>
      <c r="E95" s="9"/>
      <c r="F95" s="9"/>
      <c r="G95" s="9"/>
      <c r="H95" s="9"/>
      <c r="I95" s="9"/>
      <c r="J95" s="9"/>
      <c r="K95" s="9"/>
      <c r="L95" s="9"/>
      <c r="M95" s="9"/>
      <c r="N95" s="9"/>
      <c r="O95" s="9"/>
      <c r="P95" s="9"/>
      <c r="Q95" s="9"/>
      <c r="R95" s="9"/>
      <c r="S95" s="9"/>
      <c r="T95" s="9"/>
      <c r="U95" s="9"/>
      <c r="V95" s="9"/>
      <c r="W95" s="9"/>
      <c r="X95" s="9"/>
      <c r="Y95" s="9"/>
      <c r="Z95" s="9"/>
    </row>
    <row r="96">
      <c r="A96" s="9"/>
      <c r="B96" s="77"/>
      <c r="C96" s="9"/>
      <c r="D96" s="9"/>
      <c r="E96" s="9"/>
      <c r="F96" s="9"/>
      <c r="G96" s="9"/>
      <c r="H96" s="9"/>
      <c r="I96" s="9"/>
      <c r="J96" s="9"/>
      <c r="K96" s="9"/>
      <c r="L96" s="9"/>
      <c r="M96" s="9"/>
      <c r="N96" s="9"/>
      <c r="O96" s="9"/>
      <c r="P96" s="9"/>
      <c r="Q96" s="9"/>
      <c r="R96" s="9"/>
      <c r="S96" s="9"/>
      <c r="T96" s="9"/>
      <c r="U96" s="9"/>
      <c r="V96" s="9"/>
      <c r="W96" s="9"/>
      <c r="X96" s="9"/>
      <c r="Y96" s="9"/>
      <c r="Z96" s="9"/>
    </row>
    <row r="97">
      <c r="A97" s="9"/>
      <c r="B97" s="77"/>
      <c r="C97" s="9"/>
      <c r="D97" s="9"/>
      <c r="E97" s="9"/>
      <c r="F97" s="9"/>
      <c r="G97" s="9"/>
      <c r="H97" s="9"/>
      <c r="I97" s="9"/>
      <c r="J97" s="9"/>
      <c r="K97" s="9"/>
      <c r="L97" s="9"/>
      <c r="M97" s="9"/>
      <c r="N97" s="9"/>
      <c r="O97" s="9"/>
      <c r="P97" s="9"/>
      <c r="Q97" s="9"/>
      <c r="R97" s="9"/>
      <c r="S97" s="9"/>
      <c r="T97" s="9"/>
      <c r="U97" s="9"/>
      <c r="V97" s="9"/>
      <c r="W97" s="9"/>
      <c r="X97" s="9"/>
      <c r="Y97" s="9"/>
      <c r="Z97" s="9"/>
    </row>
    <row r="98">
      <c r="A98" s="9"/>
      <c r="B98" s="77"/>
      <c r="C98" s="9"/>
      <c r="D98" s="9"/>
      <c r="E98" s="9"/>
      <c r="F98" s="9"/>
      <c r="G98" s="9"/>
      <c r="H98" s="9"/>
      <c r="I98" s="9"/>
      <c r="J98" s="9"/>
      <c r="K98" s="9"/>
      <c r="L98" s="9"/>
      <c r="M98" s="9"/>
      <c r="N98" s="9"/>
      <c r="O98" s="9"/>
      <c r="P98" s="9"/>
      <c r="Q98" s="9"/>
      <c r="R98" s="9"/>
      <c r="S98" s="9"/>
      <c r="T98" s="9"/>
      <c r="U98" s="9"/>
      <c r="V98" s="9"/>
      <c r="W98" s="9"/>
      <c r="X98" s="9"/>
      <c r="Y98" s="9"/>
      <c r="Z98" s="9"/>
    </row>
    <row r="99">
      <c r="A99" s="9"/>
      <c r="B99" s="77"/>
      <c r="C99" s="9"/>
      <c r="D99" s="9"/>
      <c r="E99" s="9"/>
      <c r="F99" s="9"/>
      <c r="G99" s="9"/>
      <c r="H99" s="9"/>
      <c r="I99" s="9"/>
      <c r="J99" s="9"/>
      <c r="K99" s="9"/>
      <c r="L99" s="9"/>
      <c r="M99" s="9"/>
      <c r="N99" s="9"/>
      <c r="O99" s="9"/>
      <c r="P99" s="9"/>
      <c r="Q99" s="9"/>
      <c r="R99" s="9"/>
      <c r="S99" s="9"/>
      <c r="T99" s="9"/>
      <c r="U99" s="9"/>
      <c r="V99" s="9"/>
      <c r="W99" s="9"/>
      <c r="X99" s="9"/>
      <c r="Y99" s="9"/>
      <c r="Z99" s="9"/>
    </row>
    <row r="100">
      <c r="A100" s="9"/>
      <c r="B100" s="77"/>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77"/>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77"/>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77"/>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77"/>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77"/>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77"/>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77"/>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77"/>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77"/>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77"/>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77"/>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77"/>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77"/>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77"/>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77"/>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77"/>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77"/>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77"/>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77"/>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77"/>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77"/>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77"/>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77"/>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77"/>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77"/>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77"/>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77"/>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77"/>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77"/>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77"/>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77"/>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77"/>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77"/>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77"/>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77"/>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77"/>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77"/>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77"/>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77"/>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77"/>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77"/>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77"/>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77"/>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77"/>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77"/>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77"/>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77"/>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77"/>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77"/>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77"/>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77"/>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77"/>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77"/>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77"/>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77"/>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77"/>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77"/>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77"/>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77"/>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77"/>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77"/>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77"/>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77"/>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77"/>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77"/>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77"/>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77"/>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77"/>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77"/>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77"/>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77"/>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77"/>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77"/>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77"/>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77"/>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77"/>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77"/>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77"/>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77"/>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77"/>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77"/>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77"/>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77"/>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77"/>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77"/>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77"/>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77"/>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77"/>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77"/>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77"/>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77"/>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77"/>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77"/>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77"/>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77"/>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77"/>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77"/>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77"/>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77"/>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77"/>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77"/>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77"/>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77"/>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77"/>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77"/>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77"/>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77"/>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77"/>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77"/>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77"/>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77"/>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77"/>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77"/>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77"/>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77"/>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77"/>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77"/>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77"/>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77"/>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77"/>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77"/>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77"/>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77"/>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77"/>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77"/>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77"/>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77"/>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77"/>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77"/>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77"/>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77"/>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77"/>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77"/>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77"/>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77"/>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77"/>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77"/>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77"/>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77"/>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77"/>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77"/>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77"/>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77"/>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77"/>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77"/>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77"/>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77"/>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77"/>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77"/>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77"/>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77"/>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77"/>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77"/>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77"/>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77"/>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77"/>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77"/>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77"/>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77"/>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77"/>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77"/>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77"/>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77"/>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77"/>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77"/>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77"/>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77"/>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77"/>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77"/>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77"/>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77"/>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77"/>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77"/>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77"/>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77"/>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77"/>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77"/>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77"/>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77"/>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77"/>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77"/>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77"/>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77"/>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77"/>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77"/>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77"/>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77"/>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77"/>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77"/>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77"/>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77"/>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77"/>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77"/>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77"/>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77"/>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77"/>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77"/>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77"/>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77"/>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77"/>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77"/>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77"/>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77"/>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77"/>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77"/>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77"/>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77"/>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77"/>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77"/>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77"/>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77"/>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77"/>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77"/>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77"/>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77"/>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77"/>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77"/>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77"/>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77"/>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77"/>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77"/>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77"/>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77"/>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77"/>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77"/>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77"/>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77"/>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77"/>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77"/>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77"/>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77"/>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77"/>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77"/>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77"/>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77"/>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77"/>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77"/>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77"/>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77"/>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77"/>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77"/>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77"/>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77"/>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77"/>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77"/>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77"/>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77"/>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77"/>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77"/>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77"/>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77"/>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77"/>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77"/>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77"/>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77"/>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77"/>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77"/>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77"/>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77"/>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77"/>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77"/>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77"/>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77"/>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77"/>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77"/>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77"/>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77"/>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77"/>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77"/>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77"/>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77"/>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77"/>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77"/>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77"/>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77"/>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77"/>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77"/>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77"/>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77"/>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77"/>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77"/>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77"/>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77"/>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77"/>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77"/>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77"/>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77"/>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77"/>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77"/>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77"/>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77"/>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77"/>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77"/>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77"/>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77"/>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77"/>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77"/>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77"/>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77"/>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77"/>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77"/>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77"/>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77"/>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77"/>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77"/>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77"/>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77"/>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77"/>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77"/>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77"/>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77"/>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77"/>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77"/>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77"/>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77"/>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77"/>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77"/>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77"/>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77"/>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77"/>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77"/>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77"/>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77"/>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77"/>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77"/>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77"/>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77"/>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77"/>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77"/>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77"/>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77"/>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77"/>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77"/>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77"/>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77"/>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77"/>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77"/>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77"/>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77"/>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77"/>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77"/>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77"/>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77"/>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77"/>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77"/>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77"/>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77"/>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77"/>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77"/>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77"/>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77"/>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77"/>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77"/>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77"/>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77"/>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77"/>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77"/>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77"/>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77"/>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77"/>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77"/>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77"/>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77"/>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77"/>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77"/>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77"/>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77"/>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77"/>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77"/>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77"/>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77"/>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77"/>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77"/>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77"/>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77"/>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77"/>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77"/>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77"/>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77"/>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77"/>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77"/>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77"/>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77"/>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77"/>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77"/>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77"/>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77"/>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77"/>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77"/>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77"/>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77"/>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77"/>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77"/>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77"/>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77"/>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77"/>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77"/>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77"/>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77"/>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77"/>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77"/>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77"/>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77"/>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77"/>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77"/>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77"/>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77"/>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77"/>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77"/>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77"/>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77"/>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77"/>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77"/>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77"/>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77"/>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77"/>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77"/>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77"/>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77"/>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77"/>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77"/>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77"/>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77"/>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77"/>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77"/>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77"/>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77"/>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77"/>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77"/>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77"/>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77"/>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77"/>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77"/>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77"/>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77"/>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77"/>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77"/>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77"/>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77"/>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77"/>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77"/>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77"/>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77"/>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77"/>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77"/>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77"/>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77"/>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77"/>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77"/>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77"/>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77"/>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77"/>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77"/>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77"/>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77"/>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77"/>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77"/>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77"/>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77"/>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77"/>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77"/>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77"/>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77"/>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77"/>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77"/>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77"/>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77"/>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77"/>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77"/>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77"/>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77"/>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77"/>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77"/>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77"/>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77"/>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77"/>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77"/>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77"/>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77"/>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77"/>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77"/>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77"/>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77"/>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77"/>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77"/>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77"/>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77"/>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77"/>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77"/>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77"/>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77"/>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77"/>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77"/>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77"/>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77"/>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77"/>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77"/>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77"/>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77"/>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77"/>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77"/>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77"/>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77"/>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77"/>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77"/>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77"/>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77"/>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77"/>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77"/>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77"/>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77"/>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77"/>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77"/>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77"/>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77"/>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77"/>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77"/>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77"/>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77"/>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77"/>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77"/>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77"/>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77"/>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77"/>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77"/>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77"/>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77"/>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77"/>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77"/>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77"/>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77"/>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77"/>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77"/>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77"/>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77"/>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77"/>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77"/>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77"/>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77"/>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77"/>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77"/>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77"/>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77"/>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77"/>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77"/>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77"/>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77"/>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77"/>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77"/>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77"/>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77"/>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77"/>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77"/>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77"/>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77"/>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77"/>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77"/>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77"/>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77"/>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77"/>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77"/>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77"/>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77"/>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77"/>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77"/>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77"/>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77"/>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77"/>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77"/>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77"/>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77"/>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77"/>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77"/>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77"/>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77"/>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77"/>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77"/>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77"/>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77"/>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77"/>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77"/>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77"/>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77"/>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77"/>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77"/>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77"/>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77"/>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77"/>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77"/>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77"/>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77"/>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77"/>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77"/>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77"/>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77"/>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77"/>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77"/>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77"/>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77"/>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77"/>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77"/>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77"/>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77"/>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77"/>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77"/>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77"/>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77"/>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77"/>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77"/>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77"/>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77"/>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77"/>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77"/>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77"/>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77"/>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77"/>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77"/>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77"/>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77"/>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77"/>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77"/>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77"/>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77"/>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77"/>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77"/>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77"/>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77"/>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77"/>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77"/>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77"/>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77"/>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77"/>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77"/>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77"/>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77"/>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77"/>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77"/>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77"/>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77"/>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77"/>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77"/>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77"/>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77"/>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77"/>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77"/>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77"/>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77"/>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77"/>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77"/>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77"/>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77"/>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77"/>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77"/>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77"/>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77"/>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77"/>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77"/>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77"/>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77"/>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77"/>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77"/>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77"/>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77"/>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77"/>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77"/>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77"/>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77"/>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77"/>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77"/>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77"/>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77"/>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77"/>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77"/>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77"/>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77"/>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77"/>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77"/>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77"/>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77"/>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77"/>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77"/>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77"/>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77"/>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77"/>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77"/>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77"/>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77"/>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77"/>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77"/>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77"/>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77"/>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77"/>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77"/>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77"/>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77"/>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77"/>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77"/>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77"/>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77"/>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77"/>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77"/>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77"/>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77"/>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77"/>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77"/>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77"/>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77"/>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77"/>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77"/>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77"/>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77"/>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77"/>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77"/>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77"/>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77"/>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77"/>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77"/>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77"/>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77"/>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77"/>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77"/>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77"/>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77"/>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77"/>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77"/>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77"/>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77"/>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77"/>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77"/>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77"/>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77"/>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77"/>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77"/>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77"/>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77"/>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77"/>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77"/>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77"/>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77"/>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77"/>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77"/>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77"/>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77"/>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77"/>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77"/>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77"/>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77"/>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77"/>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77"/>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77"/>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77"/>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77"/>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77"/>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77"/>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77"/>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77"/>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77"/>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77"/>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77"/>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77"/>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77"/>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77"/>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77"/>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77"/>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77"/>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77"/>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77"/>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77"/>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77"/>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77"/>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77"/>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77"/>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77"/>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77"/>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77"/>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77"/>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77"/>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77"/>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77"/>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77"/>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77"/>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77"/>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77"/>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77"/>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77"/>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77"/>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77"/>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77"/>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77"/>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77"/>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77"/>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77"/>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77"/>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77"/>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77"/>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77"/>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77"/>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77"/>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77"/>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77"/>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77"/>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77"/>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77"/>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77"/>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77"/>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77"/>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77"/>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77"/>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77"/>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77"/>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77"/>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77"/>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77"/>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77"/>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77"/>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77"/>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77"/>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77"/>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77"/>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77"/>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77"/>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77"/>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77"/>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77"/>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77"/>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77"/>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77"/>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77"/>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77"/>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77"/>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77"/>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77"/>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77"/>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77"/>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77"/>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77"/>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77"/>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77"/>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77"/>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77"/>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77"/>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77"/>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77"/>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77"/>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77"/>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77"/>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77"/>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77"/>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77"/>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77"/>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77"/>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77"/>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77"/>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77"/>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77"/>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77"/>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77"/>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77"/>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77"/>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77"/>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77"/>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77"/>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77"/>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77"/>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77"/>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77"/>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77"/>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77"/>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77"/>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77"/>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77"/>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77"/>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77"/>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77"/>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77"/>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77"/>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77"/>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77"/>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77"/>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77"/>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77"/>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77"/>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77"/>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77"/>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77"/>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77"/>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77"/>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77"/>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77"/>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77"/>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77"/>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77"/>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77"/>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77"/>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77"/>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77"/>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77"/>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77"/>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77"/>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77"/>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9"/>
      <c r="B1001" s="77"/>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9"/>
      <c r="B1002" s="77"/>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9"/>
      <c r="B1003" s="77"/>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9"/>
      <c r="B1004" s="77"/>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9"/>
      <c r="B1005" s="77"/>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9"/>
      <c r="B1006" s="77"/>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9"/>
      <c r="B1007" s="77"/>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sheetData>
  <mergeCells count="47">
    <mergeCell ref="J70:K70"/>
    <mergeCell ref="L70:M70"/>
    <mergeCell ref="N70:O70"/>
    <mergeCell ref="P70:P71"/>
    <mergeCell ref="I64:I65"/>
    <mergeCell ref="J64:J65"/>
    <mergeCell ref="B69:P69"/>
    <mergeCell ref="B70:B71"/>
    <mergeCell ref="C70:C71"/>
    <mergeCell ref="D70:D71"/>
    <mergeCell ref="E70:E71"/>
    <mergeCell ref="B74:C74"/>
    <mergeCell ref="B3:F4"/>
    <mergeCell ref="C5:D5"/>
    <mergeCell ref="C6:D6"/>
    <mergeCell ref="C7:D7"/>
    <mergeCell ref="C8:D8"/>
    <mergeCell ref="C9:D9"/>
    <mergeCell ref="C10:D10"/>
    <mergeCell ref="B18:C18"/>
    <mergeCell ref="B11:D11"/>
    <mergeCell ref="B14:F14"/>
    <mergeCell ref="J15:P15"/>
    <mergeCell ref="J19:N19"/>
    <mergeCell ref="B21:H21"/>
    <mergeCell ref="J22:P22"/>
    <mergeCell ref="J29:N29"/>
    <mergeCell ref="B31:F31"/>
    <mergeCell ref="B32:F32"/>
    <mergeCell ref="J32:N32"/>
    <mergeCell ref="B35:K35"/>
    <mergeCell ref="O46:Q46"/>
    <mergeCell ref="O51:P52"/>
    <mergeCell ref="Q51:Q52"/>
    <mergeCell ref="E64:E65"/>
    <mergeCell ref="F64:F65"/>
    <mergeCell ref="G64:G65"/>
    <mergeCell ref="H64:H65"/>
    <mergeCell ref="B50:C50"/>
    <mergeCell ref="B53:K53"/>
    <mergeCell ref="B59:C59"/>
    <mergeCell ref="B63:J63"/>
    <mergeCell ref="B64:B65"/>
    <mergeCell ref="C64:C65"/>
    <mergeCell ref="D64:D65"/>
    <mergeCell ref="F70:G70"/>
    <mergeCell ref="H70:I70"/>
  </mergeCells>
  <hyperlinks>
    <hyperlink r:id="rId1" ref="F16"/>
    <hyperlink r:id="rId2" ref="F17"/>
    <hyperlink r:id="rId3" ref="H23"/>
    <hyperlink r:id="rId4" ref="H24"/>
    <hyperlink r:id="rId5" ref="P24"/>
    <hyperlink r:id="rId6" ref="H25"/>
    <hyperlink r:id="rId7" ref="P25"/>
    <hyperlink r:id="rId8" ref="H26"/>
    <hyperlink r:id="rId9" ref="P26"/>
    <hyperlink r:id="rId10" ref="H27"/>
    <hyperlink r:id="rId11" ref="H28"/>
    <hyperlink r:id="rId12" ref="P28"/>
    <hyperlink r:id="rId13" ref="H29"/>
    <hyperlink r:id="rId14" ref="H30"/>
    <hyperlink r:id="rId15" ref="K50"/>
    <hyperlink r:id="rId16" ref="P72"/>
    <hyperlink r:id="rId17" ref="P73"/>
  </hyperlinks>
  <printOptions gridLines="1" horizontalCentered="1"/>
  <pageMargins bottom="0.75" footer="0.0" header="0.0" left="0.7" right="0.7" top="0.75"/>
  <pageSetup fitToHeight="0" paperSize="9" cellComments="atEnd" orientation="landscape" pageOrder="overThenDown"/>
  <drawing r:id="rId1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75"/>
    <col customWidth="1" min="2" max="2" width="46.88"/>
    <col customWidth="1" min="3" max="3" width="73.25"/>
    <col customWidth="1" min="18" max="18" width="15.88"/>
  </cols>
  <sheetData>
    <row r="1">
      <c r="A1" s="106" t="s">
        <v>103</v>
      </c>
      <c r="B1" s="5"/>
      <c r="C1" s="109"/>
      <c r="D1" s="109"/>
      <c r="E1" s="109"/>
    </row>
    <row r="2">
      <c r="A2" s="112" t="s">
        <v>118</v>
      </c>
      <c r="B2" s="5"/>
      <c r="C2" s="115" t="s">
        <v>121</v>
      </c>
      <c r="D2" s="117"/>
      <c r="E2" s="117"/>
    </row>
    <row r="3">
      <c r="A3" s="119" t="s">
        <v>123</v>
      </c>
      <c r="B3" s="120">
        <v>0.01</v>
      </c>
      <c r="C3" s="117"/>
      <c r="D3" s="117"/>
      <c r="E3" s="117"/>
    </row>
    <row r="4">
      <c r="A4" s="119" t="s">
        <v>130</v>
      </c>
      <c r="B4" s="120">
        <v>0.0</v>
      </c>
      <c r="C4" s="117"/>
      <c r="D4" s="117"/>
      <c r="E4" s="117"/>
    </row>
    <row r="5">
      <c r="A5" s="119" t="s">
        <v>132</v>
      </c>
      <c r="B5" s="120">
        <v>0.01</v>
      </c>
      <c r="C5" s="117"/>
      <c r="D5" s="117"/>
      <c r="E5" s="117"/>
    </row>
    <row r="12">
      <c r="A12" s="127" t="s">
        <v>8</v>
      </c>
      <c r="B12" s="127" t="s">
        <v>104</v>
      </c>
      <c r="C12" s="127" t="s">
        <v>105</v>
      </c>
      <c r="D12" s="127" t="s">
        <v>106</v>
      </c>
      <c r="E12" s="127" t="s">
        <v>107</v>
      </c>
      <c r="F12" s="127" t="s">
        <v>108</v>
      </c>
      <c r="G12" s="127" t="s">
        <v>109</v>
      </c>
      <c r="H12" s="127" t="s">
        <v>110</v>
      </c>
      <c r="I12" s="127" t="s">
        <v>111</v>
      </c>
      <c r="J12" s="127" t="s">
        <v>112</v>
      </c>
      <c r="K12" s="127" t="s">
        <v>113</v>
      </c>
      <c r="L12" s="127" t="s">
        <v>114</v>
      </c>
      <c r="M12" s="127" t="s">
        <v>115</v>
      </c>
      <c r="N12" s="127" t="s">
        <v>116</v>
      </c>
      <c r="O12" s="127" t="s">
        <v>141</v>
      </c>
      <c r="P12" s="127" t="s">
        <v>143</v>
      </c>
      <c r="Q12" s="127" t="s">
        <v>144</v>
      </c>
      <c r="R12" s="127" t="s">
        <v>145</v>
      </c>
    </row>
    <row r="13">
      <c r="A13" s="128" t="s">
        <v>146</v>
      </c>
      <c r="B13" s="133">
        <f>'Dự toán báo cáo thu nhập'!B3</f>
        <v>61200000</v>
      </c>
      <c r="C13" s="133">
        <f>'Dự toán báo cáo thu nhập'!C3</f>
        <v>66300000</v>
      </c>
      <c r="D13" s="133">
        <f>'Dự toán báo cáo thu nhập'!D3</f>
        <v>66300000</v>
      </c>
      <c r="E13" s="133">
        <f>'Dự toán báo cáo thu nhập'!E3</f>
        <v>66300000</v>
      </c>
      <c r="F13" s="133">
        <f>'Dự toán báo cáo thu nhập'!F3</f>
        <v>66300000</v>
      </c>
      <c r="G13" s="133">
        <f>'Dự toán báo cáo thu nhập'!G3</f>
        <v>66300000</v>
      </c>
      <c r="H13" s="133">
        <f>'Dự toán báo cáo thu nhập'!H3</f>
        <v>66300000</v>
      </c>
      <c r="I13" s="133">
        <f>'Dự toán báo cáo thu nhập'!I3</f>
        <v>66300000</v>
      </c>
      <c r="J13" s="133">
        <f>'Dự toán báo cáo thu nhập'!J3</f>
        <v>66300000</v>
      </c>
      <c r="K13" s="133">
        <f>'Dự toán báo cáo thu nhập'!K3</f>
        <v>66300000</v>
      </c>
      <c r="L13" s="133">
        <f>'Dự toán báo cáo thu nhập'!L3</f>
        <v>66300000</v>
      </c>
      <c r="M13" s="133">
        <f>'Dự toán báo cáo thu nhập'!M3</f>
        <v>66300000</v>
      </c>
      <c r="N13" s="133">
        <f>'Dự toán báo cáo thu nhập'!N3</f>
        <v>790500000</v>
      </c>
      <c r="O13" s="133">
        <f>'Dự toán báo cáo thu nhập'!O3</f>
        <v>893265000</v>
      </c>
      <c r="P13" s="133">
        <f>'Dự toán báo cáo thu nhập'!P3</f>
        <v>1009389450</v>
      </c>
      <c r="Q13" s="133">
        <f>'Dự toán báo cáo thu nhập'!Q3</f>
        <v>1140610079</v>
      </c>
      <c r="R13" s="133">
        <f>'Dự toán báo cáo thu nhập'!R3</f>
        <v>1288889389</v>
      </c>
    </row>
    <row r="14">
      <c r="A14" s="128" t="s">
        <v>176</v>
      </c>
      <c r="B14" s="133">
        <f>'Dự toán báo cáo thu nhập'!B4</f>
        <v>2000000</v>
      </c>
      <c r="C14" s="133">
        <v>0.0</v>
      </c>
      <c r="D14" s="133">
        <v>0.0</v>
      </c>
      <c r="E14" s="133">
        <v>0.0</v>
      </c>
      <c r="F14" s="133">
        <v>0.0</v>
      </c>
      <c r="G14" s="133">
        <v>0.0</v>
      </c>
      <c r="H14" s="133">
        <v>0.0</v>
      </c>
      <c r="I14" s="133">
        <v>0.0</v>
      </c>
      <c r="J14" s="133">
        <v>0.0</v>
      </c>
      <c r="K14" s="133">
        <v>0.0</v>
      </c>
      <c r="L14" s="133">
        <v>0.0</v>
      </c>
      <c r="M14" s="133">
        <v>0.0</v>
      </c>
      <c r="N14" s="133">
        <f>'Dự toán báo cáo thu nhập'!N4</f>
        <v>2000000</v>
      </c>
      <c r="O14" s="133">
        <v>0.0</v>
      </c>
      <c r="P14" s="133">
        <v>0.0</v>
      </c>
      <c r="Q14" s="133">
        <v>0.0</v>
      </c>
      <c r="R14" s="133">
        <v>0.0</v>
      </c>
    </row>
    <row r="15">
      <c r="A15" s="156" t="s">
        <v>183</v>
      </c>
      <c r="B15" s="160">
        <f t="shared" ref="B15:R15" si="1">Max(0,B13-B14)</f>
        <v>59200000</v>
      </c>
      <c r="C15" s="160">
        <f t="shared" si="1"/>
        <v>66300000</v>
      </c>
      <c r="D15" s="160">
        <f t="shared" si="1"/>
        <v>66300000</v>
      </c>
      <c r="E15" s="160">
        <f t="shared" si="1"/>
        <v>66300000</v>
      </c>
      <c r="F15" s="160">
        <f t="shared" si="1"/>
        <v>66300000</v>
      </c>
      <c r="G15" s="160">
        <f t="shared" si="1"/>
        <v>66300000</v>
      </c>
      <c r="H15" s="160">
        <f t="shared" si="1"/>
        <v>66300000</v>
      </c>
      <c r="I15" s="160">
        <f t="shared" si="1"/>
        <v>66300000</v>
      </c>
      <c r="J15" s="160">
        <f t="shared" si="1"/>
        <v>66300000</v>
      </c>
      <c r="K15" s="160">
        <f t="shared" si="1"/>
        <v>66300000</v>
      </c>
      <c r="L15" s="160">
        <f t="shared" si="1"/>
        <v>66300000</v>
      </c>
      <c r="M15" s="160">
        <f t="shared" si="1"/>
        <v>66300000</v>
      </c>
      <c r="N15" s="160">
        <f t="shared" si="1"/>
        <v>788500000</v>
      </c>
      <c r="O15" s="160">
        <f t="shared" si="1"/>
        <v>893265000</v>
      </c>
      <c r="P15" s="160">
        <f t="shared" si="1"/>
        <v>1009389450</v>
      </c>
      <c r="Q15" s="160">
        <f t="shared" si="1"/>
        <v>1140610079</v>
      </c>
      <c r="R15" s="160">
        <f t="shared" si="1"/>
        <v>1288889389</v>
      </c>
    </row>
    <row r="16">
      <c r="A16" s="128" t="s">
        <v>187</v>
      </c>
      <c r="B16" s="161">
        <v>0.01</v>
      </c>
      <c r="C16" s="161">
        <v>0.01</v>
      </c>
      <c r="D16" s="161">
        <v>0.01</v>
      </c>
      <c r="E16" s="161">
        <v>0.01</v>
      </c>
      <c r="F16" s="161">
        <v>0.01</v>
      </c>
      <c r="G16" s="161">
        <v>0.01</v>
      </c>
      <c r="H16" s="161">
        <v>0.01</v>
      </c>
      <c r="I16" s="161">
        <v>0.01</v>
      </c>
      <c r="J16" s="161">
        <v>0.01</v>
      </c>
      <c r="K16" s="161">
        <v>0.01</v>
      </c>
      <c r="L16" s="161">
        <v>0.01</v>
      </c>
      <c r="M16" s="161">
        <v>0.01</v>
      </c>
      <c r="N16" s="161">
        <v>0.01</v>
      </c>
      <c r="O16" s="161">
        <v>0.01</v>
      </c>
      <c r="P16" s="161">
        <v>0.01</v>
      </c>
      <c r="Q16" s="161">
        <v>0.01</v>
      </c>
      <c r="R16" s="161">
        <v>0.01</v>
      </c>
    </row>
    <row r="17">
      <c r="A17" s="156" t="s">
        <v>189</v>
      </c>
      <c r="B17" s="160">
        <f t="shared" ref="B17:R17" si="2">B15*B16</f>
        <v>592000</v>
      </c>
      <c r="C17" s="160">
        <f t="shared" si="2"/>
        <v>663000</v>
      </c>
      <c r="D17" s="160">
        <f t="shared" si="2"/>
        <v>663000</v>
      </c>
      <c r="E17" s="160">
        <f t="shared" si="2"/>
        <v>663000</v>
      </c>
      <c r="F17" s="160">
        <f t="shared" si="2"/>
        <v>663000</v>
      </c>
      <c r="G17" s="160">
        <f t="shared" si="2"/>
        <v>663000</v>
      </c>
      <c r="H17" s="160">
        <f t="shared" si="2"/>
        <v>663000</v>
      </c>
      <c r="I17" s="160">
        <f t="shared" si="2"/>
        <v>663000</v>
      </c>
      <c r="J17" s="160">
        <f t="shared" si="2"/>
        <v>663000</v>
      </c>
      <c r="K17" s="160">
        <f t="shared" si="2"/>
        <v>663000</v>
      </c>
      <c r="L17" s="160">
        <f t="shared" si="2"/>
        <v>663000</v>
      </c>
      <c r="M17" s="160">
        <f t="shared" si="2"/>
        <v>663000</v>
      </c>
      <c r="N17" s="160">
        <f t="shared" si="2"/>
        <v>7885000</v>
      </c>
      <c r="O17" s="160">
        <f t="shared" si="2"/>
        <v>8932650</v>
      </c>
      <c r="P17" s="160">
        <f t="shared" si="2"/>
        <v>10093894.5</v>
      </c>
      <c r="Q17" s="160">
        <f t="shared" si="2"/>
        <v>11406100.79</v>
      </c>
      <c r="R17" s="160">
        <f t="shared" si="2"/>
        <v>12888893.89</v>
      </c>
    </row>
    <row r="18">
      <c r="A18" s="156" t="s">
        <v>194</v>
      </c>
      <c r="B18" s="160">
        <f t="shared" ref="B18:R18" si="3">B15-B17</f>
        <v>58608000</v>
      </c>
      <c r="C18" s="160">
        <f t="shared" si="3"/>
        <v>65637000</v>
      </c>
      <c r="D18" s="160">
        <f t="shared" si="3"/>
        <v>65637000</v>
      </c>
      <c r="E18" s="160">
        <f t="shared" si="3"/>
        <v>65637000</v>
      </c>
      <c r="F18" s="160">
        <f t="shared" si="3"/>
        <v>65637000</v>
      </c>
      <c r="G18" s="160">
        <f t="shared" si="3"/>
        <v>65637000</v>
      </c>
      <c r="H18" s="160">
        <f t="shared" si="3"/>
        <v>65637000</v>
      </c>
      <c r="I18" s="160">
        <f t="shared" si="3"/>
        <v>65637000</v>
      </c>
      <c r="J18" s="160">
        <f t="shared" si="3"/>
        <v>65637000</v>
      </c>
      <c r="K18" s="160">
        <f t="shared" si="3"/>
        <v>65637000</v>
      </c>
      <c r="L18" s="160">
        <f t="shared" si="3"/>
        <v>65637000</v>
      </c>
      <c r="M18" s="160">
        <f t="shared" si="3"/>
        <v>65637000</v>
      </c>
      <c r="N18" s="160">
        <f t="shared" si="3"/>
        <v>780615000</v>
      </c>
      <c r="O18" s="160">
        <f t="shared" si="3"/>
        <v>884332350</v>
      </c>
      <c r="P18" s="160">
        <f t="shared" si="3"/>
        <v>999295555.5</v>
      </c>
      <c r="Q18" s="160">
        <f t="shared" si="3"/>
        <v>1129203978</v>
      </c>
      <c r="R18" s="160">
        <f t="shared" si="3"/>
        <v>1276000495</v>
      </c>
    </row>
    <row r="19">
      <c r="A19" s="128" t="s">
        <v>198</v>
      </c>
      <c r="B19" s="169">
        <v>0.0</v>
      </c>
      <c r="C19" s="169">
        <v>0.0</v>
      </c>
      <c r="D19" s="169">
        <v>0.0</v>
      </c>
      <c r="E19" s="169">
        <v>0.0</v>
      </c>
      <c r="F19" s="169">
        <v>0.0</v>
      </c>
      <c r="G19" s="169">
        <v>0.0</v>
      </c>
      <c r="H19" s="169">
        <v>0.0</v>
      </c>
      <c r="I19" s="169">
        <v>0.0</v>
      </c>
      <c r="J19" s="169">
        <v>0.0</v>
      </c>
      <c r="K19" s="169">
        <v>0.0</v>
      </c>
      <c r="L19" s="169">
        <v>0.0</v>
      </c>
      <c r="M19" s="169">
        <v>0.0</v>
      </c>
      <c r="N19" s="169">
        <v>0.0</v>
      </c>
      <c r="O19" s="169">
        <v>0.0</v>
      </c>
      <c r="P19" s="169">
        <v>0.0</v>
      </c>
      <c r="Q19" s="169">
        <v>0.0</v>
      </c>
      <c r="R19" s="169">
        <v>0.0</v>
      </c>
    </row>
  </sheetData>
  <mergeCells count="2">
    <mergeCell ref="A1:B1"/>
    <mergeCell ref="A2:B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13"/>
    <col customWidth="1" min="2" max="2" width="11.88"/>
    <col customWidth="1" min="20" max="20" width="61.88"/>
    <col customWidth="1" min="21" max="21" width="19.88"/>
  </cols>
  <sheetData>
    <row r="1">
      <c r="A1" s="205" t="s">
        <v>222</v>
      </c>
      <c r="B1" s="10"/>
      <c r="C1" s="10"/>
      <c r="D1" s="10"/>
      <c r="E1" s="10"/>
      <c r="F1" s="10"/>
      <c r="G1" s="10"/>
      <c r="H1" s="10"/>
      <c r="I1" s="10"/>
      <c r="J1" s="10"/>
      <c r="K1" s="10"/>
      <c r="L1" s="10"/>
      <c r="M1" s="10"/>
      <c r="N1" s="10"/>
      <c r="O1" s="10"/>
      <c r="P1" s="10"/>
      <c r="Q1" s="10"/>
      <c r="R1" s="5"/>
    </row>
    <row r="2">
      <c r="A2" s="209"/>
      <c r="B2" s="211" t="s">
        <v>104</v>
      </c>
      <c r="C2" s="211" t="s">
        <v>105</v>
      </c>
      <c r="D2" s="211" t="s">
        <v>106</v>
      </c>
      <c r="E2" s="211" t="s">
        <v>107</v>
      </c>
      <c r="F2" s="211" t="s">
        <v>108</v>
      </c>
      <c r="G2" s="211" t="s">
        <v>109</v>
      </c>
      <c r="H2" s="211" t="s">
        <v>110</v>
      </c>
      <c r="I2" s="211" t="s">
        <v>111</v>
      </c>
      <c r="J2" s="211" t="s">
        <v>112</v>
      </c>
      <c r="K2" s="211" t="s">
        <v>113</v>
      </c>
      <c r="L2" s="211" t="s">
        <v>114</v>
      </c>
      <c r="M2" s="211" t="s">
        <v>115</v>
      </c>
      <c r="N2" s="211" t="s">
        <v>116</v>
      </c>
      <c r="O2" s="211" t="s">
        <v>141</v>
      </c>
      <c r="P2" s="211" t="s">
        <v>143</v>
      </c>
      <c r="Q2" s="211" t="s">
        <v>144</v>
      </c>
      <c r="R2" s="211" t="s">
        <v>145</v>
      </c>
      <c r="T2" s="127" t="s">
        <v>227</v>
      </c>
      <c r="U2" s="127" t="s">
        <v>228</v>
      </c>
    </row>
    <row r="3">
      <c r="A3" s="214" t="s">
        <v>229</v>
      </c>
      <c r="B3" s="215">
        <f>'Giả định doanh thu'!C39</f>
        <v>61200000</v>
      </c>
      <c r="C3" s="215">
        <f>'Giả định doanh thu'!D39</f>
        <v>66300000</v>
      </c>
      <c r="D3" s="215">
        <f>'Giả định doanh thu'!E39</f>
        <v>66300000</v>
      </c>
      <c r="E3" s="215">
        <f>'Giả định doanh thu'!F39</f>
        <v>66300000</v>
      </c>
      <c r="F3" s="215">
        <f>'Giả định doanh thu'!G39</f>
        <v>66300000</v>
      </c>
      <c r="G3" s="215">
        <f>'Giả định doanh thu'!H39</f>
        <v>66300000</v>
      </c>
      <c r="H3" s="215">
        <f>'Giả định doanh thu'!I41</f>
        <v>66300000</v>
      </c>
      <c r="I3" s="215">
        <f>'Giả định doanh thu'!J41</f>
        <v>66300000</v>
      </c>
      <c r="J3" s="215">
        <f>'Giả định doanh thu'!K41</f>
        <v>66300000</v>
      </c>
      <c r="K3" s="215">
        <f>'Giả định doanh thu'!L41</f>
        <v>66300000</v>
      </c>
      <c r="L3" s="215">
        <f>'Giả định doanh thu'!M41</f>
        <v>66300000</v>
      </c>
      <c r="M3" s="215">
        <f>'Giả định doanh thu'!N41</f>
        <v>66300000</v>
      </c>
      <c r="N3" s="215">
        <f>'Giả định doanh thu'!O41</f>
        <v>790500000</v>
      </c>
      <c r="O3" s="215">
        <f>'Giả định doanh thu'!D58</f>
        <v>893265000</v>
      </c>
      <c r="P3" s="215">
        <f>'Giả định doanh thu'!E58</f>
        <v>1009389450</v>
      </c>
      <c r="Q3" s="215">
        <f>'Giả định doanh thu'!F58</f>
        <v>1140610079</v>
      </c>
      <c r="R3" s="215">
        <f>'Giả định doanh thu'!G58</f>
        <v>1288889389</v>
      </c>
      <c r="T3" s="227">
        <v>0.15</v>
      </c>
      <c r="U3" s="227">
        <v>0.05</v>
      </c>
    </row>
    <row r="4">
      <c r="A4" s="230" t="s">
        <v>243</v>
      </c>
      <c r="B4" s="232">
        <f>'Giả định doanh thu'!C40</f>
        <v>2000000</v>
      </c>
      <c r="C4" s="233">
        <v>0.0</v>
      </c>
      <c r="D4" s="233">
        <v>0.0</v>
      </c>
      <c r="E4" s="233">
        <v>0.0</v>
      </c>
      <c r="F4" s="233">
        <v>0.0</v>
      </c>
      <c r="G4" s="233">
        <v>0.0</v>
      </c>
      <c r="H4" s="233">
        <v>0.0</v>
      </c>
      <c r="I4" s="233">
        <v>0.0</v>
      </c>
      <c r="J4" s="233">
        <v>0.0</v>
      </c>
      <c r="K4" s="233">
        <v>0.0</v>
      </c>
      <c r="L4" s="233">
        <v>0.0</v>
      </c>
      <c r="M4" s="233">
        <v>0.0</v>
      </c>
      <c r="N4" s="232">
        <f>'Giả định doanh thu'!C59</f>
        <v>2000000</v>
      </c>
      <c r="O4" s="233">
        <v>0.0</v>
      </c>
      <c r="P4" s="233">
        <v>0.0</v>
      </c>
      <c r="Q4" s="233">
        <v>0.0</v>
      </c>
      <c r="R4" s="233">
        <v>0.0</v>
      </c>
      <c r="T4" s="115"/>
      <c r="U4" s="239"/>
    </row>
    <row r="5">
      <c r="A5" s="214" t="s">
        <v>157</v>
      </c>
      <c r="B5" s="215">
        <f>B3-B4-'Dự toán thuế GTGT'!B17</f>
        <v>58608000</v>
      </c>
      <c r="C5" s="215">
        <f>C3-C4-'Dự toán thuế GTGT'!C17</f>
        <v>65637000</v>
      </c>
      <c r="D5" s="215">
        <f>D3-D4-'Dự toán thuế GTGT'!D17</f>
        <v>65637000</v>
      </c>
      <c r="E5" s="215">
        <f>E3-E4-'Dự toán thuế GTGT'!E17</f>
        <v>65637000</v>
      </c>
      <c r="F5" s="215">
        <f>F3-F4-'Dự toán thuế GTGT'!F17</f>
        <v>65637000</v>
      </c>
      <c r="G5" s="215">
        <f>G3-G4-'Dự toán thuế GTGT'!G17</f>
        <v>65637000</v>
      </c>
      <c r="H5" s="215">
        <f>H3-H4-'Dự toán thuế GTGT'!H17</f>
        <v>65637000</v>
      </c>
      <c r="I5" s="215">
        <f>I3-I4-'Dự toán thuế GTGT'!I17</f>
        <v>65637000</v>
      </c>
      <c r="J5" s="215">
        <f>J3-J4-'Dự toán thuế GTGT'!J17</f>
        <v>65637000</v>
      </c>
      <c r="K5" s="215">
        <f>K3-K4-'Dự toán thuế GTGT'!K17</f>
        <v>65637000</v>
      </c>
      <c r="L5" s="215">
        <f>L3-L4-'Dự toán thuế GTGT'!L17</f>
        <v>65637000</v>
      </c>
      <c r="M5" s="215">
        <f>M3-M4-'Dự toán thuế GTGT'!M17</f>
        <v>65637000</v>
      </c>
      <c r="N5" s="215">
        <f>N3-N4-'Dự toán thuế GTGT'!N17</f>
        <v>780615000</v>
      </c>
      <c r="O5" s="215">
        <f>O3-O4-'Dự toán thuế GTGT'!O17</f>
        <v>884332350</v>
      </c>
      <c r="P5" s="215">
        <f>P3-P4-'Dự toán thuế GTGT'!P17</f>
        <v>999295555.5</v>
      </c>
      <c r="Q5" s="215">
        <f>Q3-Q4-'Dự toán thuế GTGT'!Q17</f>
        <v>1129203978</v>
      </c>
      <c r="R5" s="215">
        <f>R3-R4-'Dự toán thuế GTGT'!R17</f>
        <v>1276000495</v>
      </c>
      <c r="T5" s="251"/>
      <c r="U5" s="251"/>
    </row>
    <row r="6">
      <c r="A6" s="230" t="s">
        <v>266</v>
      </c>
      <c r="B6" s="232">
        <f>'Giả định doanh thu'!C48</f>
        <v>15420000</v>
      </c>
      <c r="C6" s="232">
        <f>'Giả định doanh thu'!D48</f>
        <v>16705000</v>
      </c>
      <c r="D6" s="232">
        <f>'Giả định doanh thu'!E48</f>
        <v>16705000</v>
      </c>
      <c r="E6" s="232">
        <f>'Giả định doanh thu'!F48</f>
        <v>16705000</v>
      </c>
      <c r="F6" s="232">
        <f>'Giả định doanh thu'!G48</f>
        <v>16705000</v>
      </c>
      <c r="G6" s="232">
        <f>'Giả định doanh thu'!H48</f>
        <v>16705000</v>
      </c>
      <c r="H6" s="232">
        <f>'Giả định doanh thu'!I48</f>
        <v>16705000</v>
      </c>
      <c r="I6" s="232">
        <f>'Giả định doanh thu'!J48</f>
        <v>16705000</v>
      </c>
      <c r="J6" s="232">
        <f>'Giả định doanh thu'!K48</f>
        <v>16705000</v>
      </c>
      <c r="K6" s="232">
        <f>'Giả định doanh thu'!L48</f>
        <v>16705000</v>
      </c>
      <c r="L6" s="232">
        <f>'Giả định doanh thu'!M48</f>
        <v>16705000</v>
      </c>
      <c r="M6" s="232">
        <f>'Giả định doanh thu'!N48</f>
        <v>16705000</v>
      </c>
      <c r="N6" s="232">
        <f>'Giả định doanh thu'!O48</f>
        <v>199175000</v>
      </c>
      <c r="O6" s="232">
        <f>'Giả định doanh thu'!D67</f>
        <v>225665275</v>
      </c>
      <c r="P6" s="232">
        <f>'Giả định doanh thu'!E67</f>
        <v>248231802.5</v>
      </c>
      <c r="Q6" s="232">
        <f>'Giả định doanh thu'!F67</f>
        <v>273054982.8</v>
      </c>
      <c r="R6" s="232">
        <f>'Giả định doanh thu'!G67</f>
        <v>300360481</v>
      </c>
      <c r="T6" s="258"/>
      <c r="U6" s="259"/>
    </row>
    <row r="7">
      <c r="A7" s="230" t="s">
        <v>274</v>
      </c>
      <c r="B7" s="232">
        <f t="shared" ref="B7:R7" si="1">B6*3%</f>
        <v>462600</v>
      </c>
      <c r="C7" s="232">
        <f t="shared" si="1"/>
        <v>501150</v>
      </c>
      <c r="D7" s="232">
        <f t="shared" si="1"/>
        <v>501150</v>
      </c>
      <c r="E7" s="232">
        <f t="shared" si="1"/>
        <v>501150</v>
      </c>
      <c r="F7" s="232">
        <f t="shared" si="1"/>
        <v>501150</v>
      </c>
      <c r="G7" s="232">
        <f t="shared" si="1"/>
        <v>501150</v>
      </c>
      <c r="H7" s="232">
        <f t="shared" si="1"/>
        <v>501150</v>
      </c>
      <c r="I7" s="232">
        <f t="shared" si="1"/>
        <v>501150</v>
      </c>
      <c r="J7" s="232">
        <f t="shared" si="1"/>
        <v>501150</v>
      </c>
      <c r="K7" s="232">
        <f t="shared" si="1"/>
        <v>501150</v>
      </c>
      <c r="L7" s="232">
        <f t="shared" si="1"/>
        <v>501150</v>
      </c>
      <c r="M7" s="232">
        <f t="shared" si="1"/>
        <v>501150</v>
      </c>
      <c r="N7" s="232">
        <f t="shared" si="1"/>
        <v>5975250</v>
      </c>
      <c r="O7" s="232">
        <f t="shared" si="1"/>
        <v>6769958.25</v>
      </c>
      <c r="P7" s="232">
        <f t="shared" si="1"/>
        <v>7446954.075</v>
      </c>
      <c r="Q7" s="232">
        <f t="shared" si="1"/>
        <v>8191649.483</v>
      </c>
      <c r="R7" s="232">
        <f t="shared" si="1"/>
        <v>9010814.431</v>
      </c>
      <c r="T7" s="258"/>
      <c r="U7" s="259"/>
    </row>
    <row r="8">
      <c r="A8" s="214" t="s">
        <v>278</v>
      </c>
      <c r="B8" s="266">
        <f t="shared" ref="B8:R8" si="2">B5-SUM(B6:B7)</f>
        <v>42725400</v>
      </c>
      <c r="C8" s="266">
        <f t="shared" si="2"/>
        <v>48430850</v>
      </c>
      <c r="D8" s="266">
        <f t="shared" si="2"/>
        <v>48430850</v>
      </c>
      <c r="E8" s="266">
        <f t="shared" si="2"/>
        <v>48430850</v>
      </c>
      <c r="F8" s="266">
        <f t="shared" si="2"/>
        <v>48430850</v>
      </c>
      <c r="G8" s="266">
        <f t="shared" si="2"/>
        <v>48430850</v>
      </c>
      <c r="H8" s="266">
        <f t="shared" si="2"/>
        <v>48430850</v>
      </c>
      <c r="I8" s="266">
        <f t="shared" si="2"/>
        <v>48430850</v>
      </c>
      <c r="J8" s="266">
        <f t="shared" si="2"/>
        <v>48430850</v>
      </c>
      <c r="K8" s="266">
        <f t="shared" si="2"/>
        <v>48430850</v>
      </c>
      <c r="L8" s="266">
        <f t="shared" si="2"/>
        <v>48430850</v>
      </c>
      <c r="M8" s="266">
        <f t="shared" si="2"/>
        <v>48430850</v>
      </c>
      <c r="N8" s="266">
        <f t="shared" si="2"/>
        <v>575464750</v>
      </c>
      <c r="O8" s="266">
        <f t="shared" si="2"/>
        <v>651897116.8</v>
      </c>
      <c r="P8" s="266">
        <f t="shared" si="2"/>
        <v>743616798.9</v>
      </c>
      <c r="Q8" s="266">
        <f t="shared" si="2"/>
        <v>847957345.5</v>
      </c>
      <c r="R8" s="266">
        <f t="shared" si="2"/>
        <v>966629199.4</v>
      </c>
      <c r="T8" s="258"/>
      <c r="U8" s="272"/>
    </row>
    <row r="9">
      <c r="A9" s="214" t="s">
        <v>280</v>
      </c>
      <c r="B9" s="273"/>
      <c r="C9" s="273"/>
      <c r="D9" s="273"/>
      <c r="E9" s="273"/>
      <c r="F9" s="273"/>
      <c r="G9" s="273"/>
      <c r="H9" s="273"/>
      <c r="I9" s="273"/>
      <c r="J9" s="273"/>
      <c r="K9" s="273"/>
      <c r="L9" s="273"/>
      <c r="M9" s="273"/>
      <c r="N9" s="274"/>
      <c r="O9" s="274"/>
      <c r="P9" s="274"/>
      <c r="Q9" s="274"/>
      <c r="R9" s="274"/>
      <c r="T9" s="258"/>
      <c r="U9" s="275"/>
    </row>
    <row r="10">
      <c r="A10" s="276" t="s">
        <v>281</v>
      </c>
      <c r="B10" s="232">
        <f>'Giả định chi phí'!F11</f>
        <v>45695000</v>
      </c>
      <c r="C10" s="232">
        <f t="shared" ref="C10:M10" si="3">B10</f>
        <v>45695000</v>
      </c>
      <c r="D10" s="232">
        <f t="shared" si="3"/>
        <v>45695000</v>
      </c>
      <c r="E10" s="232">
        <f t="shared" si="3"/>
        <v>45695000</v>
      </c>
      <c r="F10" s="232">
        <f t="shared" si="3"/>
        <v>45695000</v>
      </c>
      <c r="G10" s="232">
        <f t="shared" si="3"/>
        <v>45695000</v>
      </c>
      <c r="H10" s="232">
        <f t="shared" si="3"/>
        <v>45695000</v>
      </c>
      <c r="I10" s="232">
        <f t="shared" si="3"/>
        <v>45695000</v>
      </c>
      <c r="J10" s="232">
        <f t="shared" si="3"/>
        <v>45695000</v>
      </c>
      <c r="K10" s="232">
        <f t="shared" si="3"/>
        <v>45695000</v>
      </c>
      <c r="L10" s="232">
        <f t="shared" si="3"/>
        <v>45695000</v>
      </c>
      <c r="M10" s="232">
        <f t="shared" si="3"/>
        <v>45695000</v>
      </c>
      <c r="N10" s="279">
        <f>sum('Giả định chi phí'!F38:F42)</f>
        <v>548340000</v>
      </c>
      <c r="O10" s="279">
        <f>sum('Giả định chi phí'!G38:G42)</f>
        <v>570273600</v>
      </c>
      <c r="P10" s="279">
        <f>sum('Giả định chi phí'!H38:H42)</f>
        <v>593084544</v>
      </c>
      <c r="Q10" s="279">
        <f>sum('Giả định chi phí'!I38:I42)</f>
        <v>616807925.8</v>
      </c>
      <c r="R10" s="279">
        <f>sum('Giả định chi phí'!J38:J42)</f>
        <v>641480242.8</v>
      </c>
      <c r="T10" s="258"/>
      <c r="U10" s="281"/>
    </row>
    <row r="11">
      <c r="A11" s="276" t="s">
        <v>296</v>
      </c>
      <c r="B11" s="279">
        <f>'Giả định chi phí'!E44</f>
        <v>12000000</v>
      </c>
      <c r="C11" s="279">
        <f>'Giả định chi phí'!E44</f>
        <v>12000000</v>
      </c>
      <c r="D11" s="279">
        <f>'Giả định chi phí'!E44</f>
        <v>12000000</v>
      </c>
      <c r="E11" s="279">
        <f>'Giả định chi phí'!E44</f>
        <v>12000000</v>
      </c>
      <c r="F11" s="279">
        <f>'Giả định chi phí'!E44</f>
        <v>12000000</v>
      </c>
      <c r="G11" s="279">
        <f>'Giả định chi phí'!E44</f>
        <v>12000000</v>
      </c>
      <c r="H11" s="279">
        <f>'Giả định chi phí'!E44</f>
        <v>12000000</v>
      </c>
      <c r="I11" s="279">
        <f>'Giả định chi phí'!E44</f>
        <v>12000000</v>
      </c>
      <c r="J11" s="279">
        <f>'Giả định chi phí'!E44</f>
        <v>12000000</v>
      </c>
      <c r="K11" s="279">
        <f>'Giả định chi phí'!E44</f>
        <v>12000000</v>
      </c>
      <c r="L11" s="279">
        <f>'Giả định chi phí'!E44</f>
        <v>12000000</v>
      </c>
      <c r="M11" s="279">
        <f>'Giả định chi phí'!E44</f>
        <v>12000000</v>
      </c>
      <c r="N11" s="279">
        <f>'Giả định chi phí'!F44</f>
        <v>144000000</v>
      </c>
      <c r="O11" s="279">
        <f>'Giả định chi phí'!G44</f>
        <v>151200000</v>
      </c>
      <c r="P11" s="279">
        <f>'Giả định chi phí'!H44</f>
        <v>158760000</v>
      </c>
      <c r="Q11" s="279">
        <f>'Giả định chi phí'!I44</f>
        <v>166698000</v>
      </c>
      <c r="R11" s="279">
        <f>'Giả định chi phí'!J44</f>
        <v>175032900</v>
      </c>
    </row>
    <row r="12">
      <c r="A12" s="276" t="s">
        <v>320</v>
      </c>
      <c r="B12" s="279">
        <f>'Giả định chi phí'!E46</f>
        <v>600000</v>
      </c>
      <c r="C12" s="279">
        <f>'Giả định chi phí'!E46</f>
        <v>600000</v>
      </c>
      <c r="D12" s="279">
        <f>'Giả định chi phí'!E46</f>
        <v>600000</v>
      </c>
      <c r="E12" s="279">
        <f>'Giả định chi phí'!E46</f>
        <v>600000</v>
      </c>
      <c r="F12" s="279">
        <f>'Giả định chi phí'!E46</f>
        <v>600000</v>
      </c>
      <c r="G12" s="279">
        <f>'Giả định chi phí'!E46</f>
        <v>600000</v>
      </c>
      <c r="H12" s="279">
        <f>'Giả định chi phí'!E46</f>
        <v>600000</v>
      </c>
      <c r="I12" s="279">
        <f>'Giả định chi phí'!E46</f>
        <v>600000</v>
      </c>
      <c r="J12" s="279">
        <f>'Giả định chi phí'!E46</f>
        <v>600000</v>
      </c>
      <c r="K12" s="279">
        <f>'Giả định chi phí'!E46</f>
        <v>600000</v>
      </c>
      <c r="L12" s="279">
        <f>'Giả định chi phí'!E46</f>
        <v>600000</v>
      </c>
      <c r="M12" s="279">
        <f>'Giả định chi phí'!E46</f>
        <v>600000</v>
      </c>
      <c r="N12" s="279">
        <f>'Giả định chi phí'!F46</f>
        <v>7200000</v>
      </c>
      <c r="O12" s="279">
        <f>'Giả định chi phí'!G46</f>
        <v>7560000</v>
      </c>
      <c r="P12" s="279">
        <f>'Giả định chi phí'!H46</f>
        <v>7938000</v>
      </c>
      <c r="Q12" s="279">
        <f>'Giả định chi phí'!I46</f>
        <v>8334900</v>
      </c>
      <c r="R12" s="279">
        <f>'Giả định chi phí'!J46</f>
        <v>8751645</v>
      </c>
    </row>
    <row r="13">
      <c r="A13" s="276" t="s">
        <v>321</v>
      </c>
      <c r="B13" s="279">
        <f>'Giả định chi phí'!E47</f>
        <v>150000</v>
      </c>
      <c r="C13" s="279">
        <f>'Giả định chi phí'!E47</f>
        <v>150000</v>
      </c>
      <c r="D13" s="279">
        <f>'Giả định chi phí'!E47</f>
        <v>150000</v>
      </c>
      <c r="E13" s="279">
        <f>'Giả định chi phí'!E47</f>
        <v>150000</v>
      </c>
      <c r="F13" s="279">
        <f>'Giả định chi phí'!E47</f>
        <v>150000</v>
      </c>
      <c r="G13" s="279">
        <f>'Giả định chi phí'!E47</f>
        <v>150000</v>
      </c>
      <c r="H13" s="279">
        <f>'Giả định chi phí'!E47</f>
        <v>150000</v>
      </c>
      <c r="I13" s="279">
        <f>'Giả định chi phí'!E47</f>
        <v>150000</v>
      </c>
      <c r="J13" s="279">
        <f>'Giả định chi phí'!E47</f>
        <v>150000</v>
      </c>
      <c r="K13" s="279">
        <f>'Giả định chi phí'!E47</f>
        <v>150000</v>
      </c>
      <c r="L13" s="279">
        <f>'Giả định chi phí'!E47</f>
        <v>150000</v>
      </c>
      <c r="M13" s="279">
        <f>'Giả định chi phí'!E47</f>
        <v>150000</v>
      </c>
      <c r="N13" s="279">
        <f>'Giả định chi phí'!F47</f>
        <v>1800000</v>
      </c>
      <c r="O13" s="279">
        <f>'Giả định chi phí'!G47</f>
        <v>1854000</v>
      </c>
      <c r="P13" s="279">
        <f>'Giả định chi phí'!H47</f>
        <v>1909620</v>
      </c>
      <c r="Q13" s="279">
        <f>'Giả định chi phí'!I47</f>
        <v>1966908.6</v>
      </c>
      <c r="R13" s="279">
        <f>'Giả định chi phí'!J47</f>
        <v>2025915.858</v>
      </c>
    </row>
    <row r="14">
      <c r="A14" s="276" t="s">
        <v>234</v>
      </c>
      <c r="B14" s="289">
        <f>'Giả định chi phí'!E48</f>
        <v>300000</v>
      </c>
      <c r="C14" s="279">
        <f>'Giả định chi phí'!E48</f>
        <v>300000</v>
      </c>
      <c r="D14" s="279">
        <f>'Giả định chi phí'!E48</f>
        <v>300000</v>
      </c>
      <c r="E14" s="279">
        <f>'Giả định chi phí'!E48</f>
        <v>300000</v>
      </c>
      <c r="F14" s="279">
        <f>'Giả định chi phí'!E48</f>
        <v>300000</v>
      </c>
      <c r="G14" s="279">
        <f>'Giả định chi phí'!E48</f>
        <v>300000</v>
      </c>
      <c r="H14" s="279">
        <f>'Giả định chi phí'!E48</f>
        <v>300000</v>
      </c>
      <c r="I14" s="279">
        <f>'Giả định chi phí'!E48</f>
        <v>300000</v>
      </c>
      <c r="J14" s="279">
        <f>'Giả định chi phí'!E48</f>
        <v>300000</v>
      </c>
      <c r="K14" s="279">
        <f>'Giả định chi phí'!E48</f>
        <v>300000</v>
      </c>
      <c r="L14" s="279">
        <f>'Giả định chi phí'!E48</f>
        <v>300000</v>
      </c>
      <c r="M14" s="279">
        <f>'Giả định chi phí'!E48</f>
        <v>300000</v>
      </c>
      <c r="N14" s="279">
        <f>'Giả định chi phí'!F48</f>
        <v>3600000</v>
      </c>
      <c r="O14" s="279">
        <f>'Giả định chi phí'!G48</f>
        <v>3780000</v>
      </c>
      <c r="P14" s="279">
        <f>'Giả định chi phí'!H48</f>
        <v>3969000</v>
      </c>
      <c r="Q14" s="279">
        <f>'Giả định chi phí'!I48</f>
        <v>4167450</v>
      </c>
      <c r="R14" s="279">
        <f>'Giả định chi phí'!J48</f>
        <v>4375822.5</v>
      </c>
    </row>
    <row r="15">
      <c r="A15" s="276" t="s">
        <v>322</v>
      </c>
      <c r="B15" s="232">
        <f>'Giả định chi phí'!D57</f>
        <v>500000</v>
      </c>
      <c r="C15" s="232">
        <f>'Giả định chi phí'!E57</f>
        <v>500000</v>
      </c>
      <c r="D15" s="232">
        <f>'Giả định chi phí'!E57</f>
        <v>500000</v>
      </c>
      <c r="E15" s="232">
        <f>'Giả định chi phí'!E57</f>
        <v>500000</v>
      </c>
      <c r="F15" s="232">
        <f>'Giả định chi phí'!E57</f>
        <v>500000</v>
      </c>
      <c r="G15" s="232">
        <f>'Giả định chi phí'!E57</f>
        <v>500000</v>
      </c>
      <c r="H15" s="232">
        <f>'Giả định chi phí'!E57</f>
        <v>500000</v>
      </c>
      <c r="I15" s="232">
        <f>'Giả định chi phí'!E57</f>
        <v>500000</v>
      </c>
      <c r="J15" s="232">
        <f>'Giả định chi phí'!E57</f>
        <v>500000</v>
      </c>
      <c r="K15" s="232">
        <f>'Giả định chi phí'!E57</f>
        <v>500000</v>
      </c>
      <c r="L15" s="232">
        <f>'Giả định chi phí'!E57</f>
        <v>500000</v>
      </c>
      <c r="M15" s="232">
        <f>'Giả định chi phí'!E57</f>
        <v>500000</v>
      </c>
      <c r="N15" s="232">
        <f>'Giả định chi phí'!F57</f>
        <v>6000000</v>
      </c>
      <c r="O15" s="232">
        <f>'Giả định chi phí'!G57</f>
        <v>6600000</v>
      </c>
      <c r="P15" s="232">
        <f>'Giả định chi phí'!H57</f>
        <v>7260000</v>
      </c>
      <c r="Q15" s="232">
        <f>'Giả định chi phí'!I57</f>
        <v>7986000</v>
      </c>
      <c r="R15" s="232">
        <f>'Giả định chi phí'!J57</f>
        <v>8784600</v>
      </c>
    </row>
    <row r="16">
      <c r="A16" s="276" t="s">
        <v>323</v>
      </c>
      <c r="B16" s="232">
        <f>'Giả định chi phí'!G72/12</f>
        <v>208333.3333</v>
      </c>
      <c r="C16" s="232">
        <f>'Giả định chi phí'!G72/12</f>
        <v>208333.3333</v>
      </c>
      <c r="D16" s="232">
        <f>'Giả định chi phí'!G72/12</f>
        <v>208333.3333</v>
      </c>
      <c r="E16" s="232">
        <f>'Giả định chi phí'!G72/12</f>
        <v>208333.3333</v>
      </c>
      <c r="F16" s="232">
        <f>'Giả định chi phí'!G72/12</f>
        <v>208333.3333</v>
      </c>
      <c r="G16" s="232">
        <f>'Giả định chi phí'!G72/12</f>
        <v>208333.3333</v>
      </c>
      <c r="H16" s="232">
        <f>'Giả định chi phí'!G72/12</f>
        <v>208333.3333</v>
      </c>
      <c r="I16" s="232">
        <f>'Giả định chi phí'!G72/12</f>
        <v>208333.3333</v>
      </c>
      <c r="J16" s="232">
        <f>'Giả định chi phí'!G72/12</f>
        <v>208333.3333</v>
      </c>
      <c r="K16" s="232">
        <f>'Giả định chi phí'!G72/12</f>
        <v>208333.3333</v>
      </c>
      <c r="L16" s="232">
        <f>'Giả định chi phí'!G72/12</f>
        <v>208333.3333</v>
      </c>
      <c r="M16" s="232">
        <f>'Giả định chi phí'!G72/12</f>
        <v>208333.3333</v>
      </c>
      <c r="N16" s="232">
        <f>'Giả định chi phí'!G72</f>
        <v>2500000</v>
      </c>
      <c r="O16" s="232">
        <f>'Giả định chi phí'!I72</f>
        <v>3500000</v>
      </c>
      <c r="P16" s="232">
        <f>'Giả định chi phí'!K72</f>
        <v>4500000</v>
      </c>
      <c r="Q16" s="232">
        <f>'Giả định chi phí'!M72</f>
        <v>5000000</v>
      </c>
      <c r="R16" s="232">
        <f>'Giả định chi phí'!O72</f>
        <v>5500000</v>
      </c>
    </row>
    <row r="17">
      <c r="A17" s="276" t="s">
        <v>324</v>
      </c>
      <c r="B17" s="232">
        <f>'Giả định chi phí'!G73/12</f>
        <v>291666.6667</v>
      </c>
      <c r="C17" s="232">
        <f>'Giả định chi phí'!G73/12</f>
        <v>291666.6667</v>
      </c>
      <c r="D17" s="232">
        <f>'Giả định chi phí'!G73/12</f>
        <v>291666.6667</v>
      </c>
      <c r="E17" s="232">
        <f>'Giả định chi phí'!G73/12</f>
        <v>291666.6667</v>
      </c>
      <c r="F17" s="232">
        <f>'Giả định chi phí'!G73/12</f>
        <v>291666.6667</v>
      </c>
      <c r="G17" s="232">
        <f>'Giả định chi phí'!G73/12</f>
        <v>291666.6667</v>
      </c>
      <c r="H17" s="232">
        <f>'Giả định chi phí'!G73/12</f>
        <v>291666.6667</v>
      </c>
      <c r="I17" s="232">
        <f>'Giả định chi phí'!G73/12</f>
        <v>291666.6667</v>
      </c>
      <c r="J17" s="232">
        <f>'Giả định chi phí'!G73/12</f>
        <v>291666.6667</v>
      </c>
      <c r="K17" s="232">
        <f>'Giả định chi phí'!G73/12</f>
        <v>291666.6667</v>
      </c>
      <c r="L17" s="232">
        <f>'Giả định chi phí'!G73/12</f>
        <v>291666.6667</v>
      </c>
      <c r="M17" s="232">
        <f>'Giả định chi phí'!G73/12</f>
        <v>291666.6667</v>
      </c>
      <c r="N17" s="232">
        <f>'Giả định chi phí'!G73</f>
        <v>3500000</v>
      </c>
      <c r="O17" s="232">
        <f>'Giả định chi phí'!I73</f>
        <v>4000000</v>
      </c>
      <c r="P17" s="232">
        <f>'Giả định chi phí'!K73</f>
        <v>4500000</v>
      </c>
      <c r="Q17" s="232">
        <f>'Giả định chi phí'!M73</f>
        <v>5000000</v>
      </c>
      <c r="R17" s="232">
        <f>'Giả định chi phí'!O73</f>
        <v>5000000</v>
      </c>
    </row>
    <row r="18">
      <c r="A18" s="276" t="s">
        <v>325</v>
      </c>
      <c r="B18" s="232">
        <f>'Giả định chi phí'!F66/12</f>
        <v>1519700</v>
      </c>
      <c r="C18" s="232">
        <f>'Giả định chi phí'!G66/12</f>
        <v>1519700</v>
      </c>
      <c r="D18" s="232">
        <f>'Giả định chi phí'!H66/12</f>
        <v>1519700</v>
      </c>
      <c r="E18" s="232">
        <f>'Giả định chi phí'!I66/12</f>
        <v>1519700</v>
      </c>
      <c r="F18" s="232">
        <f>'Giả định chi phí'!F66/12</f>
        <v>1519700</v>
      </c>
      <c r="G18" s="232">
        <f>'Giả định chi phí'!F66/12</f>
        <v>1519700</v>
      </c>
      <c r="H18" s="232">
        <f>'Giả định chi phí'!F66/12</f>
        <v>1519700</v>
      </c>
      <c r="I18" s="232">
        <f>'Giả định chi phí'!F66/12</f>
        <v>1519700</v>
      </c>
      <c r="J18" s="232">
        <f>'Giả định chi phí'!F66/12</f>
        <v>1519700</v>
      </c>
      <c r="K18" s="232">
        <f>'Giả định chi phí'!F66/12</f>
        <v>1519700</v>
      </c>
      <c r="L18" s="232">
        <f>'Giả định chi phí'!G66/12</f>
        <v>1519700</v>
      </c>
      <c r="M18" s="232">
        <f>'Giả định chi phí'!G66/12</f>
        <v>1519700</v>
      </c>
      <c r="N18" s="232">
        <f>'Giả định chi phí'!F66</f>
        <v>18236400</v>
      </c>
      <c r="O18" s="232">
        <f>'Giả định chi phí'!G66</f>
        <v>18236400</v>
      </c>
      <c r="P18" s="232">
        <f>'Giả định chi phí'!H66</f>
        <v>18236400</v>
      </c>
      <c r="Q18" s="232">
        <f>'Giả định chi phí'!I66</f>
        <v>18236400</v>
      </c>
      <c r="R18" s="232">
        <f>'Giả định chi phí'!J66</f>
        <v>18236400</v>
      </c>
    </row>
    <row r="19">
      <c r="A19" s="276" t="s">
        <v>326</v>
      </c>
      <c r="B19" s="233">
        <f t="shared" ref="B19:R19" si="4">0</f>
        <v>0</v>
      </c>
      <c r="C19" s="233">
        <f t="shared" si="4"/>
        <v>0</v>
      </c>
      <c r="D19" s="233">
        <f t="shared" si="4"/>
        <v>0</v>
      </c>
      <c r="E19" s="233">
        <f t="shared" si="4"/>
        <v>0</v>
      </c>
      <c r="F19" s="233">
        <f t="shared" si="4"/>
        <v>0</v>
      </c>
      <c r="G19" s="233">
        <f t="shared" si="4"/>
        <v>0</v>
      </c>
      <c r="H19" s="233">
        <f t="shared" si="4"/>
        <v>0</v>
      </c>
      <c r="I19" s="233">
        <f t="shared" si="4"/>
        <v>0</v>
      </c>
      <c r="J19" s="233">
        <f t="shared" si="4"/>
        <v>0</v>
      </c>
      <c r="K19" s="233">
        <f t="shared" si="4"/>
        <v>0</v>
      </c>
      <c r="L19" s="233">
        <f t="shared" si="4"/>
        <v>0</v>
      </c>
      <c r="M19" s="233">
        <f t="shared" si="4"/>
        <v>0</v>
      </c>
      <c r="N19" s="233">
        <f t="shared" si="4"/>
        <v>0</v>
      </c>
      <c r="O19" s="233">
        <f t="shared" si="4"/>
        <v>0</v>
      </c>
      <c r="P19" s="233">
        <f t="shared" si="4"/>
        <v>0</v>
      </c>
      <c r="Q19" s="233">
        <f t="shared" si="4"/>
        <v>0</v>
      </c>
      <c r="R19" s="233">
        <f t="shared" si="4"/>
        <v>0</v>
      </c>
    </row>
    <row r="20">
      <c r="A20" s="230" t="s">
        <v>327</v>
      </c>
      <c r="B20" s="232">
        <f t="shared" ref="B20:R20" si="5">B10</f>
        <v>45695000</v>
      </c>
      <c r="C20" s="232">
        <f t="shared" si="5"/>
        <v>45695000</v>
      </c>
      <c r="D20" s="232">
        <f t="shared" si="5"/>
        <v>45695000</v>
      </c>
      <c r="E20" s="232">
        <f t="shared" si="5"/>
        <v>45695000</v>
      </c>
      <c r="F20" s="232">
        <f t="shared" si="5"/>
        <v>45695000</v>
      </c>
      <c r="G20" s="232">
        <f t="shared" si="5"/>
        <v>45695000</v>
      </c>
      <c r="H20" s="232">
        <f t="shared" si="5"/>
        <v>45695000</v>
      </c>
      <c r="I20" s="232">
        <f t="shared" si="5"/>
        <v>45695000</v>
      </c>
      <c r="J20" s="232">
        <f t="shared" si="5"/>
        <v>45695000</v>
      </c>
      <c r="K20" s="232">
        <f t="shared" si="5"/>
        <v>45695000</v>
      </c>
      <c r="L20" s="232">
        <f t="shared" si="5"/>
        <v>45695000</v>
      </c>
      <c r="M20" s="232">
        <f t="shared" si="5"/>
        <v>45695000</v>
      </c>
      <c r="N20" s="279">
        <f t="shared" si="5"/>
        <v>548340000</v>
      </c>
      <c r="O20" s="279">
        <f t="shared" si="5"/>
        <v>570273600</v>
      </c>
      <c r="P20" s="279">
        <f t="shared" si="5"/>
        <v>593084544</v>
      </c>
      <c r="Q20" s="279">
        <f t="shared" si="5"/>
        <v>616807925.8</v>
      </c>
      <c r="R20" s="279">
        <f t="shared" si="5"/>
        <v>641480242.8</v>
      </c>
    </row>
    <row r="21">
      <c r="A21" s="230" t="s">
        <v>328</v>
      </c>
      <c r="B21" s="279">
        <f t="shared" ref="B21:R21" si="6">sum(B11:B15)</f>
        <v>13550000</v>
      </c>
      <c r="C21" s="279">
        <f t="shared" si="6"/>
        <v>13550000</v>
      </c>
      <c r="D21" s="279">
        <f t="shared" si="6"/>
        <v>13550000</v>
      </c>
      <c r="E21" s="279">
        <f t="shared" si="6"/>
        <v>13550000</v>
      </c>
      <c r="F21" s="279">
        <f t="shared" si="6"/>
        <v>13550000</v>
      </c>
      <c r="G21" s="279">
        <f t="shared" si="6"/>
        <v>13550000</v>
      </c>
      <c r="H21" s="279">
        <f t="shared" si="6"/>
        <v>13550000</v>
      </c>
      <c r="I21" s="279">
        <f t="shared" si="6"/>
        <v>13550000</v>
      </c>
      <c r="J21" s="279">
        <f t="shared" si="6"/>
        <v>13550000</v>
      </c>
      <c r="K21" s="279">
        <f t="shared" si="6"/>
        <v>13550000</v>
      </c>
      <c r="L21" s="279">
        <f t="shared" si="6"/>
        <v>13550000</v>
      </c>
      <c r="M21" s="279">
        <f t="shared" si="6"/>
        <v>13550000</v>
      </c>
      <c r="N21" s="279">
        <f t="shared" si="6"/>
        <v>162600000</v>
      </c>
      <c r="O21" s="279">
        <f t="shared" si="6"/>
        <v>170994000</v>
      </c>
      <c r="P21" s="279">
        <f t="shared" si="6"/>
        <v>179836620</v>
      </c>
      <c r="Q21" s="279">
        <f t="shared" si="6"/>
        <v>189153258.6</v>
      </c>
      <c r="R21" s="279">
        <f t="shared" si="6"/>
        <v>198970883.4</v>
      </c>
    </row>
    <row r="22">
      <c r="A22" s="230" t="s">
        <v>329</v>
      </c>
      <c r="B22" s="290">
        <f t="shared" ref="B22:R22" si="7">sum(B16:B17)</f>
        <v>500000</v>
      </c>
      <c r="C22" s="290">
        <f t="shared" si="7"/>
        <v>500000</v>
      </c>
      <c r="D22" s="290">
        <f t="shared" si="7"/>
        <v>500000</v>
      </c>
      <c r="E22" s="290">
        <f t="shared" si="7"/>
        <v>500000</v>
      </c>
      <c r="F22" s="290">
        <f t="shared" si="7"/>
        <v>500000</v>
      </c>
      <c r="G22" s="290">
        <f t="shared" si="7"/>
        <v>500000</v>
      </c>
      <c r="H22" s="290">
        <f t="shared" si="7"/>
        <v>500000</v>
      </c>
      <c r="I22" s="290">
        <f t="shared" si="7"/>
        <v>500000</v>
      </c>
      <c r="J22" s="290">
        <f t="shared" si="7"/>
        <v>500000</v>
      </c>
      <c r="K22" s="290">
        <f t="shared" si="7"/>
        <v>500000</v>
      </c>
      <c r="L22" s="290">
        <f t="shared" si="7"/>
        <v>500000</v>
      </c>
      <c r="M22" s="290">
        <f t="shared" si="7"/>
        <v>500000</v>
      </c>
      <c r="N22" s="290">
        <f t="shared" si="7"/>
        <v>6000000</v>
      </c>
      <c r="O22" s="290">
        <f t="shared" si="7"/>
        <v>7500000</v>
      </c>
      <c r="P22" s="290">
        <f t="shared" si="7"/>
        <v>9000000</v>
      </c>
      <c r="Q22" s="290">
        <f t="shared" si="7"/>
        <v>10000000</v>
      </c>
      <c r="R22" s="290">
        <f t="shared" si="7"/>
        <v>10500000</v>
      </c>
    </row>
    <row r="23">
      <c r="A23" s="230" t="s">
        <v>330</v>
      </c>
      <c r="B23" s="232">
        <f t="shared" ref="B23:R23" si="8">B18</f>
        <v>1519700</v>
      </c>
      <c r="C23" s="232">
        <f t="shared" si="8"/>
        <v>1519700</v>
      </c>
      <c r="D23" s="232">
        <f t="shared" si="8"/>
        <v>1519700</v>
      </c>
      <c r="E23" s="232">
        <f t="shared" si="8"/>
        <v>1519700</v>
      </c>
      <c r="F23" s="232">
        <f t="shared" si="8"/>
        <v>1519700</v>
      </c>
      <c r="G23" s="232">
        <f t="shared" si="8"/>
        <v>1519700</v>
      </c>
      <c r="H23" s="232">
        <f t="shared" si="8"/>
        <v>1519700</v>
      </c>
      <c r="I23" s="232">
        <f t="shared" si="8"/>
        <v>1519700</v>
      </c>
      <c r="J23" s="232">
        <f t="shared" si="8"/>
        <v>1519700</v>
      </c>
      <c r="K23" s="232">
        <f t="shared" si="8"/>
        <v>1519700</v>
      </c>
      <c r="L23" s="232">
        <f t="shared" si="8"/>
        <v>1519700</v>
      </c>
      <c r="M23" s="232">
        <f t="shared" si="8"/>
        <v>1519700</v>
      </c>
      <c r="N23" s="232">
        <f t="shared" si="8"/>
        <v>18236400</v>
      </c>
      <c r="O23" s="232">
        <f t="shared" si="8"/>
        <v>18236400</v>
      </c>
      <c r="P23" s="232">
        <f t="shared" si="8"/>
        <v>18236400</v>
      </c>
      <c r="Q23" s="232">
        <f t="shared" si="8"/>
        <v>18236400</v>
      </c>
      <c r="R23" s="232">
        <f t="shared" si="8"/>
        <v>18236400</v>
      </c>
    </row>
    <row r="24">
      <c r="A24" s="214" t="s">
        <v>331</v>
      </c>
      <c r="B24" s="266">
        <f t="shared" ref="B24:R24" si="9">sum(B20:B23)</f>
        <v>61264700</v>
      </c>
      <c r="C24" s="266">
        <f t="shared" si="9"/>
        <v>61264700</v>
      </c>
      <c r="D24" s="266">
        <f t="shared" si="9"/>
        <v>61264700</v>
      </c>
      <c r="E24" s="266">
        <f t="shared" si="9"/>
        <v>61264700</v>
      </c>
      <c r="F24" s="266">
        <f t="shared" si="9"/>
        <v>61264700</v>
      </c>
      <c r="G24" s="266">
        <f t="shared" si="9"/>
        <v>61264700</v>
      </c>
      <c r="H24" s="266">
        <f t="shared" si="9"/>
        <v>61264700</v>
      </c>
      <c r="I24" s="266">
        <f t="shared" si="9"/>
        <v>61264700</v>
      </c>
      <c r="J24" s="266">
        <f t="shared" si="9"/>
        <v>61264700</v>
      </c>
      <c r="K24" s="266">
        <f t="shared" si="9"/>
        <v>61264700</v>
      </c>
      <c r="L24" s="266">
        <f t="shared" si="9"/>
        <v>61264700</v>
      </c>
      <c r="M24" s="266">
        <f t="shared" si="9"/>
        <v>61264700</v>
      </c>
      <c r="N24" s="291">
        <f t="shared" si="9"/>
        <v>735176400</v>
      </c>
      <c r="O24" s="291">
        <f t="shared" si="9"/>
        <v>767004000</v>
      </c>
      <c r="P24" s="291">
        <f t="shared" si="9"/>
        <v>800157564</v>
      </c>
      <c r="Q24" s="291">
        <f t="shared" si="9"/>
        <v>834197584.4</v>
      </c>
      <c r="R24" s="291">
        <f t="shared" si="9"/>
        <v>869187526.1</v>
      </c>
    </row>
    <row r="25">
      <c r="A25" s="214" t="s">
        <v>332</v>
      </c>
      <c r="B25" s="292">
        <f t="shared" ref="B25:R25" si="10">B8-B24</f>
        <v>-18539300</v>
      </c>
      <c r="C25" s="292">
        <f t="shared" si="10"/>
        <v>-12833850</v>
      </c>
      <c r="D25" s="292">
        <f t="shared" si="10"/>
        <v>-12833850</v>
      </c>
      <c r="E25" s="292">
        <f t="shared" si="10"/>
        <v>-12833850</v>
      </c>
      <c r="F25" s="292">
        <f t="shared" si="10"/>
        <v>-12833850</v>
      </c>
      <c r="G25" s="292">
        <f t="shared" si="10"/>
        <v>-12833850</v>
      </c>
      <c r="H25" s="292">
        <f t="shared" si="10"/>
        <v>-12833850</v>
      </c>
      <c r="I25" s="292">
        <f t="shared" si="10"/>
        <v>-12833850</v>
      </c>
      <c r="J25" s="292">
        <f t="shared" si="10"/>
        <v>-12833850</v>
      </c>
      <c r="K25" s="292">
        <f t="shared" si="10"/>
        <v>-12833850</v>
      </c>
      <c r="L25" s="292">
        <f t="shared" si="10"/>
        <v>-12833850</v>
      </c>
      <c r="M25" s="292">
        <f t="shared" si="10"/>
        <v>-12833850</v>
      </c>
      <c r="N25" s="292">
        <f t="shared" si="10"/>
        <v>-159711650</v>
      </c>
      <c r="O25" s="292">
        <f t="shared" si="10"/>
        <v>-115106883.3</v>
      </c>
      <c r="P25" s="292">
        <f t="shared" si="10"/>
        <v>-56540765.08</v>
      </c>
      <c r="Q25" s="215">
        <f t="shared" si="10"/>
        <v>13759761.12</v>
      </c>
      <c r="R25" s="215">
        <f t="shared" si="10"/>
        <v>97441673.21</v>
      </c>
    </row>
    <row r="26">
      <c r="A26" s="293" t="s">
        <v>333</v>
      </c>
      <c r="B26" s="294">
        <f t="shared" ref="B26:R26" si="11">IF(B25&gt;0,B25*$T$3,0)</f>
        <v>0</v>
      </c>
      <c r="C26" s="294">
        <f t="shared" si="11"/>
        <v>0</v>
      </c>
      <c r="D26" s="294">
        <f t="shared" si="11"/>
        <v>0</v>
      </c>
      <c r="E26" s="294">
        <f t="shared" si="11"/>
        <v>0</v>
      </c>
      <c r="F26" s="294">
        <f t="shared" si="11"/>
        <v>0</v>
      </c>
      <c r="G26" s="294">
        <f t="shared" si="11"/>
        <v>0</v>
      </c>
      <c r="H26" s="294">
        <f t="shared" si="11"/>
        <v>0</v>
      </c>
      <c r="I26" s="294">
        <f t="shared" si="11"/>
        <v>0</v>
      </c>
      <c r="J26" s="294">
        <f t="shared" si="11"/>
        <v>0</v>
      </c>
      <c r="K26" s="294">
        <f t="shared" si="11"/>
        <v>0</v>
      </c>
      <c r="L26" s="294">
        <f t="shared" si="11"/>
        <v>0</v>
      </c>
      <c r="M26" s="294">
        <f t="shared" si="11"/>
        <v>0</v>
      </c>
      <c r="N26" s="294">
        <f t="shared" si="11"/>
        <v>0</v>
      </c>
      <c r="O26" s="294">
        <f t="shared" si="11"/>
        <v>0</v>
      </c>
      <c r="P26" s="294">
        <f t="shared" si="11"/>
        <v>0</v>
      </c>
      <c r="Q26" s="82">
        <f t="shared" si="11"/>
        <v>2063964.168</v>
      </c>
      <c r="R26" s="82">
        <f t="shared" si="11"/>
        <v>14616250.98</v>
      </c>
      <c r="S26" s="295"/>
      <c r="T26" s="295"/>
      <c r="U26" s="295"/>
      <c r="V26" s="295"/>
      <c r="W26" s="295"/>
      <c r="X26" s="295"/>
      <c r="Y26" s="295"/>
      <c r="Z26" s="295"/>
    </row>
    <row r="27">
      <c r="A27" s="214" t="s">
        <v>334</v>
      </c>
      <c r="B27" s="296">
        <f t="shared" ref="B27:R27" si="12">B25-B26</f>
        <v>-18539300</v>
      </c>
      <c r="C27" s="296">
        <f t="shared" si="12"/>
        <v>-12833850</v>
      </c>
      <c r="D27" s="296">
        <f t="shared" si="12"/>
        <v>-12833850</v>
      </c>
      <c r="E27" s="296">
        <f t="shared" si="12"/>
        <v>-12833850</v>
      </c>
      <c r="F27" s="296">
        <f t="shared" si="12"/>
        <v>-12833850</v>
      </c>
      <c r="G27" s="296">
        <f t="shared" si="12"/>
        <v>-12833850</v>
      </c>
      <c r="H27" s="296">
        <f t="shared" si="12"/>
        <v>-12833850</v>
      </c>
      <c r="I27" s="296">
        <f t="shared" si="12"/>
        <v>-12833850</v>
      </c>
      <c r="J27" s="296">
        <f t="shared" si="12"/>
        <v>-12833850</v>
      </c>
      <c r="K27" s="296">
        <f t="shared" si="12"/>
        <v>-12833850</v>
      </c>
      <c r="L27" s="296">
        <f t="shared" si="12"/>
        <v>-12833850</v>
      </c>
      <c r="M27" s="296">
        <f t="shared" si="12"/>
        <v>-12833850</v>
      </c>
      <c r="N27" s="296">
        <f t="shared" si="12"/>
        <v>-159711650</v>
      </c>
      <c r="O27" s="296">
        <f t="shared" si="12"/>
        <v>-115106883.3</v>
      </c>
      <c r="P27" s="296">
        <f t="shared" si="12"/>
        <v>-56540765.08</v>
      </c>
      <c r="Q27" s="266">
        <f t="shared" si="12"/>
        <v>11695796.95</v>
      </c>
      <c r="R27" s="266">
        <f t="shared" si="12"/>
        <v>82825422.23</v>
      </c>
    </row>
    <row r="29">
      <c r="A29" s="297" t="s">
        <v>335</v>
      </c>
      <c r="B29" s="298"/>
      <c r="C29" s="298"/>
      <c r="D29" s="298"/>
      <c r="E29" s="298"/>
      <c r="F29" s="298"/>
      <c r="G29" s="298"/>
      <c r="H29" s="298"/>
    </row>
    <row r="30">
      <c r="A30" s="299" t="s">
        <v>336</v>
      </c>
      <c r="B30" s="298"/>
      <c r="C30" s="300" t="s">
        <v>337</v>
      </c>
      <c r="D30" s="298"/>
      <c r="E30" s="298"/>
      <c r="F30" s="298"/>
      <c r="G30" s="298"/>
      <c r="H30" s="298"/>
    </row>
    <row r="31">
      <c r="A31" s="299" t="s">
        <v>338</v>
      </c>
      <c r="B31" s="299"/>
      <c r="C31" s="300" t="s">
        <v>339</v>
      </c>
      <c r="D31" s="298"/>
      <c r="E31" s="298"/>
      <c r="F31" s="298"/>
      <c r="G31" s="298"/>
      <c r="H31" s="298"/>
      <c r="I31" s="298"/>
      <c r="J31" s="298"/>
      <c r="K31" s="298"/>
      <c r="L31" s="298"/>
    </row>
  </sheetData>
  <mergeCells count="1">
    <mergeCell ref="A1:R1"/>
  </mergeCells>
  <hyperlinks>
    <hyperlink r:id="rId1" ref="C30"/>
    <hyperlink r:id="rId2" ref="C31"/>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20.13"/>
  </cols>
  <sheetData>
    <row r="1">
      <c r="A1" s="29" t="s">
        <v>231</v>
      </c>
      <c r="B1" s="10"/>
      <c r="C1" s="10"/>
      <c r="D1" s="10"/>
      <c r="E1" s="10"/>
      <c r="F1" s="10"/>
      <c r="G1" s="10"/>
      <c r="H1" s="10"/>
      <c r="I1" s="10"/>
      <c r="J1" s="10"/>
      <c r="K1" s="10"/>
      <c r="L1" s="10"/>
      <c r="M1" s="10"/>
      <c r="N1" s="10"/>
      <c r="O1" s="10"/>
      <c r="P1" s="10"/>
      <c r="Q1" s="10"/>
      <c r="R1" s="10"/>
      <c r="S1" s="10"/>
      <c r="T1" s="5"/>
    </row>
    <row r="2">
      <c r="A2" s="23" t="s">
        <v>233</v>
      </c>
      <c r="B2" s="5"/>
      <c r="C2" s="15" t="s">
        <v>87</v>
      </c>
      <c r="D2" s="15" t="s">
        <v>104</v>
      </c>
      <c r="E2" s="15" t="s">
        <v>105</v>
      </c>
      <c r="F2" s="15" t="s">
        <v>106</v>
      </c>
      <c r="G2" s="15" t="s">
        <v>107</v>
      </c>
      <c r="H2" s="15" t="s">
        <v>108</v>
      </c>
      <c r="I2" s="15" t="s">
        <v>109</v>
      </c>
      <c r="J2" s="15" t="s">
        <v>110</v>
      </c>
      <c r="K2" s="15" t="s">
        <v>111</v>
      </c>
      <c r="L2" s="15" t="s">
        <v>112</v>
      </c>
      <c r="M2" s="15" t="s">
        <v>113</v>
      </c>
      <c r="N2" s="15" t="s">
        <v>114</v>
      </c>
      <c r="O2" s="15" t="s">
        <v>115</v>
      </c>
      <c r="P2" s="15" t="s">
        <v>116</v>
      </c>
      <c r="Q2" s="15" t="s">
        <v>141</v>
      </c>
      <c r="R2" s="15" t="s">
        <v>143</v>
      </c>
      <c r="S2" s="15" t="s">
        <v>235</v>
      </c>
      <c r="T2" s="15" t="s">
        <v>145</v>
      </c>
    </row>
    <row r="3">
      <c r="A3" s="216" t="s">
        <v>236</v>
      </c>
      <c r="B3" s="217"/>
      <c r="C3" s="217"/>
      <c r="D3" s="217"/>
      <c r="E3" s="217"/>
      <c r="F3" s="217"/>
      <c r="G3" s="217"/>
      <c r="H3" s="217"/>
      <c r="I3" s="217"/>
      <c r="J3" s="217"/>
      <c r="K3" s="217"/>
      <c r="L3" s="217"/>
      <c r="M3" s="217"/>
      <c r="N3" s="217"/>
      <c r="O3" s="217"/>
      <c r="P3" s="217"/>
      <c r="Q3" s="217"/>
      <c r="R3" s="217"/>
      <c r="S3" s="217"/>
      <c r="T3" s="217"/>
    </row>
    <row r="4">
      <c r="A4" s="151" t="s">
        <v>238</v>
      </c>
      <c r="B4" s="219"/>
      <c r="C4" s="219"/>
      <c r="D4" s="219"/>
      <c r="E4" s="219"/>
      <c r="F4" s="219"/>
      <c r="G4" s="219"/>
      <c r="H4" s="219"/>
      <c r="I4" s="219"/>
      <c r="J4" s="219"/>
      <c r="K4" s="219"/>
      <c r="L4" s="219"/>
      <c r="M4" s="219"/>
      <c r="N4" s="219"/>
      <c r="O4" s="219"/>
      <c r="P4" s="219"/>
      <c r="Q4" s="219"/>
      <c r="R4" s="219"/>
      <c r="S4" s="219"/>
      <c r="T4" s="219"/>
    </row>
    <row r="5">
      <c r="A5" s="24" t="s">
        <v>239</v>
      </c>
      <c r="B5" s="221"/>
      <c r="C5" s="200"/>
      <c r="D5" s="28"/>
      <c r="E5" s="28"/>
      <c r="F5" s="28"/>
      <c r="G5" s="28"/>
      <c r="H5" s="28"/>
      <c r="I5" s="28"/>
      <c r="J5" s="28"/>
      <c r="K5" s="28"/>
      <c r="L5" s="28"/>
      <c r="M5" s="28"/>
      <c r="N5" s="28"/>
      <c r="O5" s="28"/>
      <c r="P5" s="28"/>
      <c r="Q5" s="28"/>
      <c r="R5" s="28"/>
      <c r="S5" s="28"/>
      <c r="T5" s="28"/>
    </row>
    <row r="6">
      <c r="A6" s="24" t="s">
        <v>240</v>
      </c>
      <c r="B6" s="224"/>
      <c r="C6" s="28"/>
      <c r="D6" s="28"/>
      <c r="E6" s="28"/>
      <c r="F6" s="28"/>
      <c r="G6" s="28"/>
      <c r="H6" s="28"/>
      <c r="I6" s="28"/>
      <c r="J6" s="28"/>
      <c r="K6" s="28"/>
      <c r="L6" s="28"/>
      <c r="M6" s="28"/>
      <c r="N6" s="28"/>
      <c r="O6" s="28"/>
      <c r="P6" s="28"/>
      <c r="Q6" s="28"/>
      <c r="R6" s="28"/>
      <c r="S6" s="28"/>
      <c r="T6" s="28"/>
    </row>
    <row r="7">
      <c r="A7" s="24" t="s">
        <v>241</v>
      </c>
      <c r="B7" s="224"/>
      <c r="C7" s="200"/>
      <c r="D7" s="28"/>
      <c r="E7" s="28"/>
      <c r="F7" s="28"/>
      <c r="G7" s="28"/>
      <c r="H7" s="28"/>
      <c r="I7" s="28"/>
      <c r="J7" s="28"/>
      <c r="K7" s="28"/>
      <c r="L7" s="28"/>
      <c r="M7" s="28"/>
      <c r="N7" s="28"/>
      <c r="O7" s="28"/>
      <c r="P7" s="28"/>
      <c r="Q7" s="28"/>
      <c r="R7" s="28"/>
      <c r="S7" s="28"/>
      <c r="T7" s="28"/>
    </row>
    <row r="8">
      <c r="A8" s="225" t="s">
        <v>153</v>
      </c>
      <c r="B8" s="226"/>
      <c r="C8" s="228"/>
      <c r="D8" s="229"/>
      <c r="E8" s="229"/>
      <c r="F8" s="229"/>
      <c r="G8" s="229"/>
      <c r="H8" s="229"/>
      <c r="I8" s="229"/>
      <c r="J8" s="229"/>
      <c r="K8" s="229"/>
      <c r="L8" s="229"/>
      <c r="M8" s="229"/>
      <c r="N8" s="229"/>
      <c r="O8" s="229"/>
      <c r="P8" s="229"/>
      <c r="Q8" s="229"/>
      <c r="R8" s="229"/>
      <c r="S8" s="229"/>
      <c r="T8" s="229"/>
    </row>
    <row r="9">
      <c r="A9" s="24" t="s">
        <v>244</v>
      </c>
      <c r="B9" s="231"/>
      <c r="C9" s="200"/>
      <c r="D9" s="28"/>
      <c r="E9" s="28"/>
      <c r="F9" s="28"/>
      <c r="G9" s="28"/>
      <c r="H9" s="28"/>
      <c r="I9" s="28"/>
      <c r="J9" s="28"/>
      <c r="K9" s="28"/>
      <c r="L9" s="28"/>
      <c r="M9" s="28"/>
      <c r="N9" s="28"/>
      <c r="O9" s="28"/>
      <c r="P9" s="28"/>
      <c r="Q9" s="28"/>
      <c r="R9" s="28"/>
      <c r="S9" s="28"/>
      <c r="T9" s="28"/>
    </row>
    <row r="10">
      <c r="A10" s="234" t="s">
        <v>245</v>
      </c>
      <c r="B10" s="235"/>
      <c r="C10" s="219"/>
      <c r="D10" s="219"/>
      <c r="E10" s="219"/>
      <c r="F10" s="219"/>
      <c r="G10" s="219"/>
      <c r="H10" s="219"/>
      <c r="I10" s="219"/>
      <c r="J10" s="219"/>
      <c r="K10" s="219"/>
      <c r="L10" s="219"/>
      <c r="M10" s="219"/>
      <c r="N10" s="219"/>
      <c r="O10" s="219"/>
      <c r="P10" s="219"/>
      <c r="Q10" s="219"/>
      <c r="R10" s="219"/>
      <c r="S10" s="219"/>
      <c r="T10" s="219"/>
    </row>
    <row r="11">
      <c r="A11" s="24" t="s">
        <v>246</v>
      </c>
      <c r="B11" s="236"/>
      <c r="C11" s="238"/>
      <c r="D11" s="238"/>
      <c r="E11" s="238"/>
      <c r="F11" s="238"/>
      <c r="G11" s="238"/>
      <c r="H11" s="238"/>
      <c r="I11" s="238"/>
      <c r="J11" s="238"/>
      <c r="K11" s="238"/>
      <c r="L11" s="238"/>
      <c r="M11" s="238"/>
      <c r="N11" s="238"/>
      <c r="O11" s="238"/>
      <c r="P11" s="238"/>
      <c r="Q11" s="238"/>
      <c r="R11" s="238"/>
      <c r="S11" s="238"/>
      <c r="T11" s="238"/>
    </row>
    <row r="12">
      <c r="A12" s="24" t="s">
        <v>247</v>
      </c>
      <c r="B12" s="221"/>
      <c r="C12" s="240"/>
      <c r="D12" s="238"/>
      <c r="E12" s="28"/>
      <c r="F12" s="28"/>
      <c r="G12" s="28"/>
      <c r="H12" s="28"/>
      <c r="I12" s="28"/>
      <c r="J12" s="28"/>
      <c r="K12" s="28"/>
      <c r="L12" s="28"/>
      <c r="M12" s="28"/>
      <c r="N12" s="28"/>
      <c r="O12" s="28"/>
      <c r="P12" s="28"/>
      <c r="Q12" s="28"/>
      <c r="R12" s="28"/>
      <c r="S12" s="28"/>
      <c r="T12" s="28"/>
    </row>
    <row r="13">
      <c r="A13" s="24" t="s">
        <v>248</v>
      </c>
      <c r="B13" s="231"/>
      <c r="C13" s="200"/>
      <c r="D13" s="28"/>
      <c r="E13" s="28"/>
      <c r="F13" s="28"/>
      <c r="G13" s="28"/>
      <c r="H13" s="28"/>
      <c r="I13" s="28"/>
      <c r="J13" s="28"/>
      <c r="K13" s="28"/>
      <c r="L13" s="28"/>
      <c r="M13" s="28"/>
      <c r="N13" s="28"/>
      <c r="O13" s="28"/>
      <c r="P13" s="28"/>
      <c r="Q13" s="28"/>
      <c r="R13" s="28"/>
      <c r="S13" s="28"/>
      <c r="T13" s="28"/>
    </row>
    <row r="14">
      <c r="A14" s="234" t="s">
        <v>249</v>
      </c>
      <c r="B14" s="241"/>
      <c r="C14" s="243"/>
      <c r="D14" s="243"/>
      <c r="E14" s="243"/>
      <c r="F14" s="243"/>
      <c r="G14" s="243"/>
      <c r="H14" s="243"/>
      <c r="I14" s="243"/>
      <c r="J14" s="243"/>
      <c r="K14" s="243"/>
      <c r="L14" s="243"/>
      <c r="M14" s="243"/>
      <c r="N14" s="243"/>
      <c r="O14" s="243"/>
      <c r="P14" s="243"/>
      <c r="Q14" s="243"/>
      <c r="R14" s="243"/>
      <c r="S14" s="243"/>
      <c r="T14" s="243"/>
    </row>
    <row r="15">
      <c r="A15" s="216" t="s">
        <v>250</v>
      </c>
      <c r="B15" s="244"/>
      <c r="C15" s="217"/>
      <c r="D15" s="217"/>
      <c r="E15" s="217"/>
      <c r="F15" s="217"/>
      <c r="G15" s="217"/>
      <c r="H15" s="217"/>
      <c r="I15" s="217"/>
      <c r="J15" s="217"/>
      <c r="K15" s="217"/>
      <c r="L15" s="217"/>
      <c r="M15" s="217"/>
      <c r="N15" s="217"/>
      <c r="O15" s="217"/>
      <c r="P15" s="217"/>
      <c r="Q15" s="217"/>
      <c r="R15" s="217"/>
      <c r="S15" s="246"/>
      <c r="T15" s="246"/>
    </row>
    <row r="16">
      <c r="A16" s="234" t="s">
        <v>251</v>
      </c>
      <c r="B16" s="235"/>
      <c r="C16" s="247"/>
      <c r="D16" s="247"/>
      <c r="E16" s="247"/>
      <c r="F16" s="247"/>
      <c r="G16" s="247"/>
      <c r="H16" s="247"/>
      <c r="I16" s="247"/>
      <c r="J16" s="247"/>
      <c r="K16" s="247"/>
      <c r="L16" s="247"/>
      <c r="M16" s="247"/>
      <c r="N16" s="247"/>
      <c r="O16" s="247"/>
      <c r="P16" s="247"/>
      <c r="Q16" s="247"/>
      <c r="R16" s="247"/>
      <c r="S16" s="247"/>
      <c r="T16" s="247"/>
    </row>
    <row r="17">
      <c r="A17" s="24" t="s">
        <v>252</v>
      </c>
      <c r="B17" s="224"/>
      <c r="C17" s="28"/>
      <c r="D17" s="28"/>
      <c r="E17" s="28"/>
      <c r="F17" s="28"/>
      <c r="G17" s="28"/>
      <c r="H17" s="28"/>
      <c r="I17" s="28"/>
      <c r="J17" s="28"/>
      <c r="K17" s="28"/>
      <c r="L17" s="28"/>
      <c r="M17" s="28"/>
      <c r="N17" s="28"/>
      <c r="O17" s="28"/>
      <c r="P17" s="28"/>
      <c r="Q17" s="28"/>
      <c r="R17" s="28"/>
      <c r="S17" s="28"/>
      <c r="T17" s="28"/>
    </row>
    <row r="18">
      <c r="A18" s="24" t="s">
        <v>254</v>
      </c>
      <c r="B18" s="224"/>
      <c r="C18" s="28"/>
      <c r="D18" s="28"/>
      <c r="E18" s="28"/>
      <c r="F18" s="28"/>
      <c r="G18" s="28"/>
      <c r="H18" s="28"/>
      <c r="I18" s="28"/>
      <c r="J18" s="28"/>
      <c r="K18" s="28"/>
      <c r="L18" s="28"/>
      <c r="M18" s="28"/>
      <c r="N18" s="28"/>
      <c r="O18" s="28"/>
      <c r="P18" s="28"/>
      <c r="Q18" s="28"/>
      <c r="R18" s="28"/>
      <c r="S18" s="28"/>
      <c r="T18" s="28"/>
    </row>
    <row r="19">
      <c r="A19" s="24" t="s">
        <v>255</v>
      </c>
      <c r="B19" s="224"/>
      <c r="C19" s="28"/>
      <c r="D19" s="28"/>
      <c r="E19" s="28"/>
      <c r="F19" s="28"/>
      <c r="G19" s="28"/>
      <c r="H19" s="28"/>
      <c r="I19" s="28"/>
      <c r="J19" s="28"/>
      <c r="K19" s="28"/>
      <c r="L19" s="28"/>
      <c r="M19" s="28"/>
      <c r="N19" s="28"/>
      <c r="O19" s="28"/>
      <c r="P19" s="28"/>
      <c r="Q19" s="28"/>
      <c r="R19" s="28"/>
      <c r="S19" s="28"/>
      <c r="T19" s="28"/>
    </row>
    <row r="20">
      <c r="A20" s="24" t="s">
        <v>256</v>
      </c>
      <c r="B20" s="224"/>
      <c r="C20" s="28"/>
      <c r="D20" s="28"/>
      <c r="E20" s="28"/>
      <c r="F20" s="28"/>
      <c r="G20" s="28"/>
      <c r="H20" s="28"/>
      <c r="I20" s="28"/>
      <c r="J20" s="28"/>
      <c r="K20" s="28"/>
      <c r="L20" s="28"/>
      <c r="M20" s="28"/>
      <c r="N20" s="28"/>
      <c r="O20" s="28"/>
      <c r="P20" s="28"/>
      <c r="Q20" s="28"/>
      <c r="R20" s="28"/>
      <c r="S20" s="28"/>
      <c r="T20" s="28"/>
    </row>
    <row r="21">
      <c r="A21" s="24" t="s">
        <v>257</v>
      </c>
      <c r="B21" s="224"/>
      <c r="C21" s="28"/>
      <c r="D21" s="28"/>
      <c r="E21" s="28"/>
      <c r="F21" s="28"/>
      <c r="G21" s="28"/>
      <c r="H21" s="28"/>
      <c r="I21" s="28"/>
      <c r="J21" s="28"/>
      <c r="K21" s="28"/>
      <c r="L21" s="28"/>
      <c r="M21" s="28"/>
      <c r="N21" s="28"/>
      <c r="O21" s="28"/>
      <c r="P21" s="28"/>
      <c r="Q21" s="28"/>
      <c r="R21" s="28"/>
      <c r="S21" s="28"/>
      <c r="T21" s="28"/>
    </row>
    <row r="22">
      <c r="A22" s="24" t="s">
        <v>259</v>
      </c>
      <c r="B22" s="224"/>
      <c r="C22" s="28"/>
      <c r="D22" s="28"/>
      <c r="E22" s="28"/>
      <c r="F22" s="28"/>
      <c r="G22" s="28"/>
      <c r="H22" s="28"/>
      <c r="I22" s="28"/>
      <c r="J22" s="28"/>
      <c r="K22" s="28"/>
      <c r="L22" s="28"/>
      <c r="M22" s="28"/>
      <c r="N22" s="28"/>
      <c r="O22" s="28"/>
      <c r="P22" s="28"/>
      <c r="Q22" s="28"/>
      <c r="R22" s="28"/>
      <c r="S22" s="28"/>
      <c r="T22" s="28"/>
    </row>
    <row r="23">
      <c r="A23" s="234" t="s">
        <v>260</v>
      </c>
      <c r="B23" s="235"/>
      <c r="C23" s="219"/>
      <c r="D23" s="219"/>
      <c r="E23" s="219"/>
      <c r="F23" s="219"/>
      <c r="G23" s="219"/>
      <c r="H23" s="219"/>
      <c r="I23" s="219"/>
      <c r="J23" s="219"/>
      <c r="K23" s="219"/>
      <c r="L23" s="219"/>
      <c r="M23" s="219"/>
      <c r="N23" s="219"/>
      <c r="O23" s="219"/>
      <c r="P23" s="219"/>
      <c r="Q23" s="219"/>
      <c r="R23" s="219"/>
      <c r="S23" s="219"/>
      <c r="T23" s="219"/>
    </row>
    <row r="24">
      <c r="A24" s="24" t="s">
        <v>261</v>
      </c>
      <c r="B24" s="224"/>
      <c r="C24" s="28"/>
      <c r="D24" s="28"/>
      <c r="E24" s="28"/>
      <c r="F24" s="28"/>
      <c r="G24" s="28"/>
      <c r="H24" s="28"/>
      <c r="I24" s="28"/>
      <c r="J24" s="28"/>
      <c r="K24" s="28"/>
      <c r="L24" s="28"/>
      <c r="M24" s="28"/>
      <c r="N24" s="28"/>
      <c r="O24" s="28"/>
      <c r="P24" s="28"/>
      <c r="Q24" s="28"/>
      <c r="R24" s="28"/>
      <c r="S24" s="28"/>
      <c r="T24" s="28"/>
    </row>
    <row r="25">
      <c r="A25" s="24" t="s">
        <v>262</v>
      </c>
      <c r="B25" s="224"/>
      <c r="C25" s="28"/>
      <c r="D25" s="28"/>
      <c r="E25" s="28"/>
      <c r="F25" s="28"/>
      <c r="G25" s="28"/>
      <c r="H25" s="28"/>
      <c r="I25" s="28"/>
      <c r="J25" s="28"/>
      <c r="K25" s="28"/>
      <c r="L25" s="28"/>
      <c r="M25" s="28"/>
      <c r="N25" s="28"/>
      <c r="O25" s="28"/>
      <c r="P25" s="28"/>
      <c r="Q25" s="28"/>
      <c r="R25" s="28"/>
      <c r="S25" s="28"/>
      <c r="T25" s="28"/>
    </row>
    <row r="26">
      <c r="A26" s="24" t="s">
        <v>263</v>
      </c>
      <c r="B26" s="224"/>
      <c r="C26" s="28"/>
      <c r="D26" s="28"/>
      <c r="E26" s="28"/>
      <c r="F26" s="28"/>
      <c r="G26" s="28"/>
      <c r="H26" s="28"/>
      <c r="I26" s="28"/>
      <c r="J26" s="28"/>
      <c r="K26" s="28"/>
      <c r="L26" s="28"/>
      <c r="M26" s="28"/>
      <c r="N26" s="28"/>
      <c r="O26" s="28"/>
      <c r="P26" s="28"/>
      <c r="Q26" s="28"/>
      <c r="R26" s="28"/>
      <c r="S26" s="28"/>
      <c r="T26" s="28"/>
    </row>
    <row r="27">
      <c r="A27" s="234" t="s">
        <v>264</v>
      </c>
      <c r="B27" s="241"/>
      <c r="C27" s="243"/>
      <c r="D27" s="243"/>
      <c r="E27" s="243"/>
      <c r="F27" s="243"/>
      <c r="G27" s="243"/>
      <c r="H27" s="243"/>
      <c r="I27" s="243"/>
      <c r="J27" s="243"/>
      <c r="K27" s="243"/>
      <c r="L27" s="243"/>
      <c r="M27" s="243"/>
      <c r="N27" s="243"/>
      <c r="O27" s="243"/>
      <c r="P27" s="243"/>
      <c r="Q27" s="243"/>
      <c r="R27" s="243"/>
      <c r="S27" s="243"/>
      <c r="T27" s="243"/>
    </row>
    <row r="67">
      <c r="U67" s="252"/>
    </row>
  </sheetData>
  <mergeCells count="2">
    <mergeCell ref="A1:T1"/>
    <mergeCell ref="A2:B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88"/>
    <col customWidth="1" min="2" max="2" width="20.63"/>
  </cols>
  <sheetData>
    <row r="1">
      <c r="A1" s="8" t="s">
        <v>269</v>
      </c>
      <c r="B1" s="10"/>
      <c r="C1" s="10"/>
      <c r="D1" s="10"/>
      <c r="E1" s="10"/>
      <c r="F1" s="10"/>
      <c r="G1" s="10"/>
      <c r="H1" s="10"/>
      <c r="I1" s="10"/>
      <c r="J1" s="10"/>
      <c r="K1" s="10"/>
      <c r="L1" s="10"/>
      <c r="M1" s="10"/>
      <c r="N1" s="10"/>
      <c r="O1" s="10"/>
      <c r="P1" s="10"/>
      <c r="Q1" s="10"/>
      <c r="R1" s="10"/>
      <c r="S1" s="10"/>
      <c r="T1" s="5"/>
    </row>
    <row r="2">
      <c r="A2" s="15" t="s">
        <v>8</v>
      </c>
      <c r="B2" s="15" t="s">
        <v>271</v>
      </c>
      <c r="C2" s="15" t="s">
        <v>87</v>
      </c>
      <c r="D2" s="15" t="s">
        <v>104</v>
      </c>
      <c r="E2" s="15" t="s">
        <v>105</v>
      </c>
      <c r="F2" s="15" t="s">
        <v>106</v>
      </c>
      <c r="G2" s="15" t="s">
        <v>107</v>
      </c>
      <c r="H2" s="15" t="s">
        <v>108</v>
      </c>
      <c r="I2" s="15" t="s">
        <v>109</v>
      </c>
      <c r="J2" s="15" t="s">
        <v>110</v>
      </c>
      <c r="K2" s="15" t="s">
        <v>111</v>
      </c>
      <c r="L2" s="15" t="s">
        <v>112</v>
      </c>
      <c r="M2" s="15" t="s">
        <v>113</v>
      </c>
      <c r="N2" s="15" t="s">
        <v>114</v>
      </c>
      <c r="O2" s="15" t="s">
        <v>115</v>
      </c>
      <c r="P2" s="15" t="s">
        <v>116</v>
      </c>
      <c r="Q2" s="15" t="s">
        <v>141</v>
      </c>
      <c r="R2" s="15" t="s">
        <v>143</v>
      </c>
      <c r="S2" s="15" t="s">
        <v>144</v>
      </c>
      <c r="T2" s="15" t="s">
        <v>145</v>
      </c>
    </row>
    <row r="3">
      <c r="A3" s="89" t="s">
        <v>275</v>
      </c>
      <c r="B3" s="261"/>
      <c r="C3" s="261"/>
      <c r="D3" s="261"/>
      <c r="E3" s="261"/>
      <c r="F3" s="261"/>
      <c r="G3" s="261"/>
      <c r="H3" s="261"/>
      <c r="I3" s="261"/>
      <c r="J3" s="261"/>
      <c r="K3" s="261"/>
      <c r="L3" s="261"/>
      <c r="M3" s="261"/>
      <c r="N3" s="261"/>
      <c r="O3" s="261"/>
      <c r="P3" s="262"/>
      <c r="Q3" s="262"/>
      <c r="R3" s="262"/>
      <c r="S3" s="262"/>
      <c r="T3" s="262"/>
    </row>
    <row r="4">
      <c r="A4" s="264" t="s">
        <v>277</v>
      </c>
      <c r="B4" s="265">
        <v>1.0</v>
      </c>
      <c r="C4" s="267">
        <f>(SUM('Giả định chi phí'!Q48:Q49))</f>
        <v>650000</v>
      </c>
      <c r="D4" s="270">
        <f>'Dự toán báo cáo thu nhập'!B27</f>
        <v>-18539300</v>
      </c>
      <c r="E4" s="267">
        <f>'Dự toán báo cáo thu nhập'!C27</f>
        <v>-12833850</v>
      </c>
      <c r="F4" s="267">
        <f>'Dự toán báo cáo thu nhập'!D27</f>
        <v>-12833850</v>
      </c>
      <c r="G4" s="267">
        <f>'Dự toán báo cáo thu nhập'!E27</f>
        <v>-12833850</v>
      </c>
      <c r="H4" s="267">
        <f>'Dự toán báo cáo thu nhập'!F27</f>
        <v>-12833850</v>
      </c>
      <c r="I4" s="267">
        <f>'Dự toán báo cáo thu nhập'!G27</f>
        <v>-12833850</v>
      </c>
      <c r="J4" s="267">
        <f>'Dự toán báo cáo thu nhập'!H27</f>
        <v>-12833850</v>
      </c>
      <c r="K4" s="267">
        <f>'Dự toán báo cáo thu nhập'!I27</f>
        <v>-12833850</v>
      </c>
      <c r="L4" s="267">
        <f>'Dự toán báo cáo thu nhập'!J27</f>
        <v>-12833850</v>
      </c>
      <c r="M4" s="267">
        <f>'Dự toán báo cáo thu nhập'!K27</f>
        <v>-12833850</v>
      </c>
      <c r="N4" s="267">
        <f>'Dự toán báo cáo thu nhập'!L27</f>
        <v>-12833850</v>
      </c>
      <c r="O4" s="267">
        <f>'Dự toán báo cáo thu nhập'!M27</f>
        <v>-12833850</v>
      </c>
      <c r="P4" s="267">
        <f>'Dự toán báo cáo thu nhập'!N27</f>
        <v>-159711650</v>
      </c>
      <c r="Q4" s="267">
        <f>'Dự toán báo cáo thu nhập'!O27</f>
        <v>-115106883.3</v>
      </c>
      <c r="R4" s="267">
        <f>'Dự toán báo cáo thu nhập'!P27</f>
        <v>-56540765.08</v>
      </c>
      <c r="S4" s="267">
        <f>'Dự toán báo cáo thu nhập'!Q27</f>
        <v>11695796.95</v>
      </c>
      <c r="T4" s="267">
        <f>'Dự toán báo cáo thu nhập'!R27</f>
        <v>82825422.23</v>
      </c>
    </row>
    <row r="5">
      <c r="A5" s="264" t="s">
        <v>297</v>
      </c>
      <c r="B5" s="265">
        <v>2.0</v>
      </c>
      <c r="C5" s="265"/>
      <c r="D5" s="265"/>
      <c r="E5" s="265"/>
      <c r="F5" s="265"/>
      <c r="G5" s="265"/>
      <c r="H5" s="265"/>
      <c r="I5" s="265"/>
      <c r="J5" s="265"/>
      <c r="K5" s="265"/>
      <c r="L5" s="265"/>
      <c r="M5" s="265"/>
      <c r="N5" s="265"/>
      <c r="O5" s="265"/>
      <c r="P5" s="265"/>
      <c r="Q5" s="265"/>
      <c r="R5" s="265"/>
      <c r="S5" s="265"/>
      <c r="T5" s="265"/>
    </row>
    <row r="6">
      <c r="A6" s="24" t="s">
        <v>298</v>
      </c>
      <c r="B6" s="265">
        <v>3.0</v>
      </c>
      <c r="C6" s="265"/>
      <c r="D6" s="265"/>
      <c r="E6" s="265"/>
      <c r="F6" s="265"/>
      <c r="G6" s="265"/>
      <c r="H6" s="265"/>
      <c r="I6" s="265"/>
      <c r="J6" s="265"/>
      <c r="K6" s="265"/>
      <c r="L6" s="265"/>
      <c r="M6" s="265"/>
      <c r="N6" s="265"/>
      <c r="O6" s="265"/>
      <c r="P6" s="265"/>
      <c r="Q6" s="265"/>
      <c r="R6" s="265"/>
      <c r="S6" s="265"/>
      <c r="T6" s="265"/>
    </row>
    <row r="7">
      <c r="A7" s="24" t="s">
        <v>299</v>
      </c>
      <c r="B7" s="265">
        <v>4.0</v>
      </c>
      <c r="C7" s="265"/>
      <c r="D7" s="265"/>
      <c r="E7" s="265"/>
      <c r="F7" s="265"/>
      <c r="G7" s="265"/>
      <c r="H7" s="265"/>
      <c r="I7" s="265"/>
      <c r="J7" s="265"/>
      <c r="K7" s="265"/>
      <c r="L7" s="265"/>
      <c r="M7" s="265"/>
      <c r="N7" s="265"/>
      <c r="O7" s="265"/>
      <c r="P7" s="265"/>
      <c r="Q7" s="265"/>
      <c r="R7" s="265"/>
      <c r="S7" s="265"/>
      <c r="T7" s="265"/>
    </row>
    <row r="8">
      <c r="A8" s="24" t="s">
        <v>300</v>
      </c>
      <c r="B8" s="265">
        <v>5.0</v>
      </c>
      <c r="C8" s="265"/>
      <c r="D8" s="265"/>
      <c r="E8" s="265"/>
      <c r="F8" s="265"/>
      <c r="G8" s="265"/>
      <c r="H8" s="265"/>
      <c r="I8" s="265"/>
      <c r="J8" s="265"/>
      <c r="K8" s="265"/>
      <c r="L8" s="265"/>
      <c r="M8" s="265"/>
      <c r="N8" s="265"/>
      <c r="O8" s="265"/>
      <c r="P8" s="265"/>
      <c r="Q8" s="265"/>
      <c r="R8" s="265"/>
      <c r="S8" s="265"/>
      <c r="T8" s="265"/>
    </row>
    <row r="9">
      <c r="A9" s="24" t="s">
        <v>301</v>
      </c>
      <c r="B9" s="265">
        <v>6.0</v>
      </c>
      <c r="C9" s="265"/>
      <c r="D9" s="265"/>
      <c r="E9" s="265"/>
      <c r="F9" s="265"/>
      <c r="G9" s="265"/>
      <c r="H9" s="265"/>
      <c r="I9" s="265"/>
      <c r="J9" s="265"/>
      <c r="K9" s="265"/>
      <c r="L9" s="265"/>
      <c r="M9" s="265"/>
      <c r="N9" s="265"/>
      <c r="O9" s="265"/>
      <c r="P9" s="265"/>
      <c r="Q9" s="265"/>
      <c r="R9" s="265"/>
      <c r="S9" s="265"/>
      <c r="T9" s="265"/>
    </row>
    <row r="10">
      <c r="A10" s="283" t="s">
        <v>302</v>
      </c>
      <c r="B10" s="284" t="s">
        <v>303</v>
      </c>
      <c r="C10" s="285"/>
      <c r="D10" s="285"/>
      <c r="E10" s="285"/>
      <c r="F10" s="285"/>
      <c r="G10" s="285"/>
      <c r="H10" s="285"/>
      <c r="I10" s="285"/>
      <c r="J10" s="285"/>
      <c r="K10" s="285"/>
      <c r="L10" s="285"/>
      <c r="M10" s="285"/>
      <c r="N10" s="285"/>
      <c r="O10" s="285"/>
      <c r="P10" s="285"/>
      <c r="Q10" s="285"/>
      <c r="R10" s="285"/>
      <c r="S10" s="285"/>
      <c r="T10" s="285"/>
    </row>
    <row r="11">
      <c r="A11" s="89" t="s">
        <v>304</v>
      </c>
      <c r="B11" s="261"/>
      <c r="C11" s="261"/>
      <c r="D11" s="261"/>
      <c r="E11" s="261"/>
      <c r="F11" s="261"/>
      <c r="G11" s="261"/>
      <c r="H11" s="261"/>
      <c r="I11" s="261"/>
      <c r="J11" s="261"/>
      <c r="K11" s="261"/>
      <c r="L11" s="261"/>
      <c r="M11" s="261"/>
      <c r="N11" s="261"/>
      <c r="O11" s="261"/>
      <c r="P11" s="261"/>
      <c r="Q11" s="261"/>
      <c r="R11" s="261"/>
      <c r="S11" s="261"/>
      <c r="T11" s="261"/>
    </row>
    <row r="12">
      <c r="A12" s="24" t="s">
        <v>305</v>
      </c>
      <c r="B12" s="265">
        <v>8.0</v>
      </c>
      <c r="C12" s="265"/>
      <c r="D12" s="265"/>
      <c r="E12" s="265"/>
      <c r="F12" s="265"/>
      <c r="G12" s="265"/>
      <c r="H12" s="265"/>
      <c r="I12" s="265"/>
      <c r="J12" s="265"/>
      <c r="K12" s="265"/>
      <c r="L12" s="265"/>
      <c r="M12" s="265"/>
      <c r="N12" s="265"/>
      <c r="O12" s="265"/>
      <c r="P12" s="265"/>
      <c r="Q12" s="265"/>
      <c r="R12" s="265"/>
      <c r="S12" s="265"/>
      <c r="T12" s="265"/>
    </row>
    <row r="13">
      <c r="A13" s="24" t="s">
        <v>306</v>
      </c>
      <c r="B13" s="265">
        <v>9.0</v>
      </c>
      <c r="C13" s="265"/>
      <c r="D13" s="265"/>
      <c r="E13" s="265"/>
      <c r="F13" s="265"/>
      <c r="G13" s="265"/>
      <c r="H13" s="265"/>
      <c r="I13" s="265"/>
      <c r="J13" s="265"/>
      <c r="K13" s="265"/>
      <c r="L13" s="265"/>
      <c r="M13" s="265"/>
      <c r="N13" s="265"/>
      <c r="O13" s="265"/>
      <c r="P13" s="265"/>
      <c r="Q13" s="265"/>
      <c r="R13" s="265"/>
      <c r="S13" s="265"/>
      <c r="T13" s="265"/>
    </row>
    <row r="14">
      <c r="A14" s="283" t="s">
        <v>307</v>
      </c>
      <c r="B14" s="284" t="s">
        <v>308</v>
      </c>
      <c r="C14" s="285"/>
      <c r="D14" s="285"/>
      <c r="E14" s="285"/>
      <c r="F14" s="285"/>
      <c r="G14" s="285"/>
      <c r="H14" s="285"/>
      <c r="I14" s="285"/>
      <c r="J14" s="285"/>
      <c r="K14" s="285"/>
      <c r="L14" s="285"/>
      <c r="M14" s="285"/>
      <c r="N14" s="285"/>
      <c r="O14" s="285"/>
      <c r="P14" s="285"/>
      <c r="Q14" s="285"/>
      <c r="R14" s="285"/>
      <c r="S14" s="285"/>
      <c r="T14" s="285"/>
    </row>
    <row r="15">
      <c r="A15" s="89" t="s">
        <v>309</v>
      </c>
      <c r="B15" s="261"/>
      <c r="C15" s="261"/>
      <c r="D15" s="261"/>
      <c r="E15" s="261"/>
      <c r="F15" s="261"/>
      <c r="G15" s="261"/>
      <c r="H15" s="261"/>
      <c r="I15" s="261"/>
      <c r="J15" s="261"/>
      <c r="K15" s="261"/>
      <c r="L15" s="261"/>
      <c r="M15" s="261"/>
      <c r="N15" s="261"/>
      <c r="O15" s="261"/>
      <c r="P15" s="261"/>
      <c r="Q15" s="261"/>
      <c r="R15" s="261"/>
      <c r="S15" s="261"/>
      <c r="T15" s="261"/>
    </row>
    <row r="16">
      <c r="A16" s="24" t="s">
        <v>310</v>
      </c>
      <c r="B16" s="265">
        <v>11.0</v>
      </c>
      <c r="C16" s="265"/>
      <c r="D16" s="265"/>
      <c r="E16" s="265"/>
      <c r="F16" s="265"/>
      <c r="G16" s="265"/>
      <c r="H16" s="265"/>
      <c r="I16" s="265"/>
      <c r="J16" s="265"/>
      <c r="K16" s="265"/>
      <c r="L16" s="265"/>
      <c r="M16" s="265"/>
      <c r="N16" s="265"/>
      <c r="O16" s="265"/>
      <c r="P16" s="265"/>
      <c r="Q16" s="265"/>
      <c r="R16" s="265"/>
      <c r="S16" s="265"/>
      <c r="T16" s="265"/>
    </row>
    <row r="17">
      <c r="A17" s="24" t="s">
        <v>311</v>
      </c>
      <c r="B17" s="265">
        <v>12.0</v>
      </c>
      <c r="C17" s="265"/>
      <c r="D17" s="265"/>
      <c r="E17" s="265"/>
      <c r="F17" s="265"/>
      <c r="G17" s="265"/>
      <c r="H17" s="265"/>
      <c r="I17" s="265"/>
      <c r="J17" s="265"/>
      <c r="K17" s="265"/>
      <c r="L17" s="265"/>
      <c r="M17" s="265"/>
      <c r="N17" s="265"/>
      <c r="O17" s="265"/>
      <c r="P17" s="265"/>
      <c r="Q17" s="265"/>
      <c r="R17" s="265"/>
      <c r="S17" s="265"/>
      <c r="T17" s="265"/>
    </row>
    <row r="18">
      <c r="A18" s="24" t="s">
        <v>312</v>
      </c>
      <c r="B18" s="265">
        <v>13.0</v>
      </c>
      <c r="C18" s="265"/>
      <c r="D18" s="265"/>
      <c r="E18" s="265"/>
      <c r="F18" s="265"/>
      <c r="G18" s="265"/>
      <c r="H18" s="265"/>
      <c r="I18" s="265"/>
      <c r="J18" s="265"/>
      <c r="K18" s="265"/>
      <c r="L18" s="265"/>
      <c r="M18" s="265"/>
      <c r="N18" s="265"/>
      <c r="O18" s="265"/>
      <c r="P18" s="265"/>
      <c r="Q18" s="265"/>
      <c r="R18" s="265"/>
      <c r="S18" s="265"/>
      <c r="T18" s="265"/>
    </row>
    <row r="19">
      <c r="A19" s="283" t="s">
        <v>313</v>
      </c>
      <c r="B19" s="284" t="s">
        <v>314</v>
      </c>
      <c r="C19" s="285"/>
      <c r="D19" s="285"/>
      <c r="E19" s="285"/>
      <c r="F19" s="285"/>
      <c r="G19" s="285"/>
      <c r="H19" s="285"/>
      <c r="I19" s="285"/>
      <c r="J19" s="285"/>
      <c r="K19" s="285"/>
      <c r="L19" s="285"/>
      <c r="M19" s="285"/>
      <c r="N19" s="285"/>
      <c r="O19" s="285"/>
      <c r="P19" s="285"/>
      <c r="Q19" s="285"/>
      <c r="R19" s="285"/>
      <c r="S19" s="285"/>
      <c r="T19" s="285"/>
    </row>
    <row r="20">
      <c r="A20" s="89" t="s">
        <v>315</v>
      </c>
      <c r="B20" s="286" t="s">
        <v>316</v>
      </c>
      <c r="C20" s="286"/>
      <c r="D20" s="286"/>
      <c r="E20" s="286"/>
      <c r="F20" s="286"/>
      <c r="G20" s="286"/>
      <c r="H20" s="286"/>
      <c r="I20" s="286"/>
      <c r="J20" s="286"/>
      <c r="K20" s="286"/>
      <c r="L20" s="286"/>
      <c r="M20" s="286"/>
      <c r="N20" s="286"/>
      <c r="O20" s="286"/>
      <c r="P20" s="286"/>
      <c r="Q20" s="286"/>
      <c r="R20" s="286"/>
      <c r="S20" s="286"/>
      <c r="T20" s="286"/>
    </row>
    <row r="21">
      <c r="A21" s="264" t="s">
        <v>317</v>
      </c>
      <c r="B21" s="287">
        <v>16.0</v>
      </c>
      <c r="C21" s="265"/>
      <c r="D21" s="265"/>
      <c r="E21" s="265"/>
      <c r="F21" s="265"/>
      <c r="G21" s="265"/>
      <c r="H21" s="265"/>
      <c r="I21" s="265"/>
      <c r="J21" s="265"/>
      <c r="K21" s="265"/>
      <c r="L21" s="265"/>
      <c r="M21" s="265"/>
      <c r="N21" s="265"/>
      <c r="O21" s="265"/>
      <c r="P21" s="265"/>
      <c r="Q21" s="265"/>
      <c r="R21" s="265"/>
      <c r="S21" s="265"/>
      <c r="T21" s="265"/>
    </row>
    <row r="22">
      <c r="A22" s="264" t="s">
        <v>318</v>
      </c>
      <c r="B22" s="287" t="s">
        <v>319</v>
      </c>
      <c r="C22" s="265"/>
      <c r="D22" s="265"/>
      <c r="E22" s="265"/>
      <c r="F22" s="265"/>
      <c r="G22" s="265"/>
      <c r="H22" s="265"/>
      <c r="I22" s="265"/>
      <c r="J22" s="265"/>
      <c r="K22" s="265"/>
      <c r="L22" s="265"/>
      <c r="M22" s="265"/>
      <c r="N22" s="265"/>
      <c r="O22" s="265"/>
      <c r="P22" s="288"/>
      <c r="Q22" s="288"/>
      <c r="R22" s="288"/>
      <c r="S22" s="288"/>
      <c r="T22" s="288"/>
    </row>
  </sheetData>
  <mergeCells count="1">
    <mergeCell ref="A1:T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